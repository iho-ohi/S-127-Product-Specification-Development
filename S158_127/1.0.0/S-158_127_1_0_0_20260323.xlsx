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E:\work\git\S-127-Product-Specification-Development\S158_127\1.0.0\"/>
    </mc:Choice>
  </mc:AlternateContent>
  <xr:revisionPtr revIDLastSave="0" documentId="13_ncr:1_{F02B534A-49A5-4FC8-8FD8-77B0545678F4}" xr6:coauthVersionLast="47" xr6:coauthVersionMax="47" xr10:uidLastSave="{00000000-0000-0000-0000-000000000000}"/>
  <bookViews>
    <workbookView xWindow="-120" yWindow="-120" windowWidth="28110" windowHeight="18240" tabRatio="647" activeTab="1" xr2:uid="{00000000-000D-0000-FFFF-FFFF00000000}"/>
  </bookViews>
  <sheets>
    <sheet name="S127ValidationChecks metadata" sheetId="11" r:id="rId1"/>
    <sheet name="S127Checks" sheetId="10" r:id="rId2"/>
  </sheets>
  <externalReferences>
    <externalReference r:id="rId3"/>
  </externalReferences>
  <definedNames>
    <definedName name="_xlnm._FilterDatabase" localSheetId="1" hidden="1">S127Checks!$K$1:$K$113</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0" i="10" l="1"/>
  <c r="A69" i="10"/>
  <c r="A68" i="10"/>
  <c r="A67" i="10"/>
  <c r="A66" i="10"/>
  <c r="A65" i="10"/>
  <c r="A64" i="10"/>
  <c r="A63" i="10"/>
  <c r="A62" i="10"/>
  <c r="A61" i="10"/>
  <c r="A60" i="10"/>
  <c r="A59" i="10"/>
  <c r="A58" i="10"/>
  <c r="A57" i="10"/>
  <c r="A56" i="10"/>
  <c r="A55" i="10"/>
  <c r="A54" i="10"/>
  <c r="A53" i="10"/>
  <c r="A52" i="10"/>
  <c r="A51" i="10"/>
  <c r="A50" i="10"/>
  <c r="A49" i="10"/>
  <c r="A48" i="10"/>
  <c r="A47" i="10"/>
  <c r="A46" i="10"/>
  <c r="B70" i="10"/>
  <c r="B69" i="10"/>
  <c r="B68" i="10"/>
  <c r="B67" i="10"/>
  <c r="B66" i="10"/>
  <c r="B65" i="10"/>
  <c r="B64" i="10"/>
  <c r="B57" i="10"/>
  <c r="B56" i="10"/>
  <c r="B55" i="10"/>
  <c r="B54" i="10"/>
  <c r="B53" i="10"/>
  <c r="B52" i="10"/>
  <c r="B51" i="10"/>
  <c r="B50" i="10"/>
  <c r="B49" i="10"/>
  <c r="B63" i="10"/>
  <c r="B62" i="10"/>
  <c r="B61" i="10"/>
  <c r="B60" i="10"/>
  <c r="B59" i="10"/>
  <c r="B58" i="10"/>
  <c r="B48" i="10"/>
  <c r="B47" i="10"/>
  <c r="B46" i="10"/>
  <c r="B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alcChain>
</file>

<file path=xl/sharedStrings.xml><?xml version="1.0" encoding="utf-8"?>
<sst xmlns="http://schemas.openxmlformats.org/spreadsheetml/2006/main" count="630" uniqueCount="348">
  <si>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</si>
  <si>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</si>
  <si>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</si>
  <si>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</si>
  <si>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</si>
  <si>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</si>
  <si>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</si>
  <si>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</si>
  <si>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</si>
  <si>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</si>
  <si>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</si>
  <si>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</si>
  <si>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</si>
  <si>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</si>
  <si>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</si>
  <si>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</si>
  <si>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</si>
  <si>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</si>
  <si>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</si>
  <si>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</si>
  <si>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</si>
  <si>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</si>
  <si>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</si>
  <si>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</si>
  <si>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</si>
  <si>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Draft</t>
  </si>
  <si>
    <t>Ed.2.0.0</t>
  </si>
  <si>
    <t>S-100</t>
  </si>
  <si>
    <t>Ed. 5.2.0</t>
  </si>
  <si>
    <t>S-158:127</t>
  </si>
  <si>
    <t>MARINE TRAFFIC MANAGEMENT VALIDATION CHECKS</t>
  </si>
  <si>
    <t>1.0.0</t>
  </si>
  <si>
    <t>NIPWG/S-127 TASK GROUP</t>
  </si>
  <si>
    <t>S-127 PS</t>
  </si>
  <si>
    <t>S-127 DCEG</t>
  </si>
  <si>
    <t>S-127 FC</t>
  </si>
  <si>
    <t>Metadata of S-127 Validation Check Specification</t>
  </si>
  <si>
    <t>For each feature object where its geometry is not COVERED_BY a DataCoverage</t>
  </si>
  <si>
    <t>If either QualityOfNonbathymetricData or DataCoverage meta feature objects do not exist within the data set.</t>
  </si>
  <si>
    <t>For each feature object with an attribute of type Float or Integer where the value contains zeroes before the first numerical digit or after the last numerical digit.</t>
  </si>
  <si>
    <t>For each feature object with an attribute value identical to a corresponding attribute of a meta feature object it is COVERED_BY.</t>
  </si>
  <si>
    <t>For each feature instance where textContent attribute is present, and two or more information subAttributes are present, and the text subattributes are equal.</t>
  </si>
  <si>
    <t>For each feature instance where textContent attribute is present, and two or more information subAttributes are present, and the combination of fileReference and fileLocator  subattributes are equal.</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</si>
  <si>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</si>
  <si>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</si>
  <si>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t>For each feature instance which is not COVERED_BY the combined coverage of QualityOfNonBathymetricData  meta feature instance.</t>
  </si>
  <si>
    <t>If the order of the data in a dataset is not correct.</t>
  </si>
  <si>
    <t>For each feature instance where periodicDateRange subattributes dateEnd and dateStart are notNull AND their values are identical.</t>
  </si>
  <si>
    <t xml:space="preserve">For each instance of ServiceHours where an instance of scheduleByDayOfWeek attribute has temporal overlaps specified by timeIntervalByDayOfWeek attribute. </t>
  </si>
  <si>
    <t>For each instance of ServiceHours with more than one instance of scheduleByDayOfWeek, and where an instance of scheduleByDayOfWeek has a temporal overlap with another instance of scheduleByDayOfWeek.</t>
  </si>
  <si>
    <t>For each instance of a dataset present in the exchange set and that does not have dataset discovery metadata.</t>
  </si>
  <si>
    <t>For each instance of a support file present in the exchange set and that does not have support file discovery metadata.</t>
  </si>
  <si>
    <t>For each feature instance which CROSS the 180° meridian.</t>
  </si>
  <si>
    <t>For each RouteingMeasure with categoryOfRouteingMeasure ≠ 5 AND categoryOfTrafficSeparationScheme populated.</t>
  </si>
  <si>
    <t>For each UnderkeelClearanceManagementArea with dynamicResource = 2 or 3 and without an association to a ContactDetails object.</t>
  </si>
  <si>
    <t>For each WaterwayArea with dynamicResource = 2 or 3 and without an association to a ContactDetails object.</t>
  </si>
  <si>
    <t>For each underkeelAllowance complex attribute without any of underkeelAllowance Fixed/Variable/BeamBased sub-attributes populated.</t>
  </si>
  <si>
    <t>For each underkeelAllowance complex attribute without more than one of underkeelAllowance Fixed/Variable/BeamBased sub-attributes populated and operation not populated.</t>
  </si>
  <si>
    <t>For each RouteingMeasure with categoryOfRouteingMeasure ≠ 4 AND categoryOfNavigationLine populated.</t>
  </si>
  <si>
    <t>For each feature with more than one associated ContactDetails instance with call name attribute encoded AND that does not have different values in the language attribute.</t>
  </si>
  <si>
    <t>For each fixedDateRange where both dateEnd and dateStart are omitted or Null.</t>
  </si>
  <si>
    <t>For each fixedDateRange where dateEnd or dateStart is not Null but the year component is not specified.</t>
  </si>
  <si>
    <t>For each textContent attribute where both information and onlineResource are missing or null.</t>
  </si>
  <si>
    <t>For each information attribute where both fileReference and text subattributes are missing or null.</t>
  </si>
  <si>
    <t>For each sourceIndication where the sub-attributes are missing or null.</t>
  </si>
  <si>
    <t>For each contactAddress with all sub-attributes either omitted or null.</t>
  </si>
  <si>
    <t>For each Regulations, Restrictions, Recommendations, NauticalInformation with both graphic and textContent missing or null.</t>
  </si>
  <si>
    <t>For each Applicability without at least one of its attributes populated.</t>
  </si>
  <si>
    <t>For each NonStandardWorkingDay with all of dateFixed, dateVariable, and information missing or null.</t>
  </si>
  <si>
    <t>For each ContactDetails without at least one non-Null attribute.</t>
  </si>
  <si>
    <t>For each association where the target is not in the dataset.</t>
  </si>
  <si>
    <t xml:space="preserve">Objects fall outside the coverage object. </t>
  </si>
  <si>
    <t>An attribute value of a meta feature object is duplicated on a geo object.</t>
  </si>
  <si>
    <t>Values for file reference and locator combinations are identical.</t>
  </si>
  <si>
    <t>Name is encoded in national language only.</t>
  </si>
  <si>
    <t>Text is encoded in national language only</t>
  </si>
  <si>
    <t>Object outside area of coverage.</t>
  </si>
  <si>
    <t>Feature instance not covered by an QualityOfNonBathymetricData instance.</t>
  </si>
  <si>
    <t>Incorrect data order.</t>
  </si>
  <si>
    <t>Object has identical values of periodicDateRange subattributes dateEnd and dateStart.</t>
  </si>
  <si>
    <t>Vertex density exceeds the allowable tolerance.</t>
  </si>
  <si>
    <t>Time intervals within the same scheduleByDayOfWeek attribute overlap.</t>
  </si>
  <si>
    <t>Schedule overlaps.</t>
  </si>
  <si>
    <t>Dataset discovery metadata is missing for dataset.</t>
  </si>
  <si>
    <t>Support file discovery metadata is missing for support file.</t>
  </si>
  <si>
    <t>File is missing from exchange set.</t>
  </si>
  <si>
    <t>Data crossing the 180° meridian.</t>
  </si>
  <si>
    <t>FixedDateRange not populated making the attribute meaningless.</t>
  </si>
  <si>
    <t>Year is required in fixedDateRange dates.</t>
  </si>
  <si>
    <t>TextContent is not populated with meaningful information.</t>
  </si>
  <si>
    <t>Information is not populated with meaningful information.</t>
  </si>
  <si>
    <t>SourceIndication is not populated with meaningful information.</t>
  </si>
  <si>
    <t>Contact address is not populated with meaningful information.</t>
  </si>
  <si>
    <t>Regulations, Restrictions, Recommendations, NauticalInformation not populated.</t>
  </si>
  <si>
    <t>Applicability is not populated with meaningful information.</t>
  </si>
  <si>
    <t>NonStandardWorkingDay not populated with meaningful information.</t>
  </si>
  <si>
    <t>ContactDetails not populated with meaningful information.</t>
  </si>
  <si>
    <t>Associated feature or information type not present.</t>
  </si>
  <si>
    <t>Empty update.</t>
  </si>
  <si>
    <t>Category of TSS applies only to traffic separation schemes.</t>
  </si>
  <si>
    <t>Features for dynamic resources must indicate a source for the dynamic information.</t>
  </si>
  <si>
    <t>Underkeel allowance attribute is not populated.</t>
  </si>
  <si>
    <t>Underkeel allowance with more than one factor must specify how the factors are combined.</t>
  </si>
  <si>
    <t>Category of navigation line applies only to recommended tracks.</t>
  </si>
  <si>
    <t>Call name in different languages should be noted by the appropriate language.</t>
  </si>
  <si>
    <t>Ensure objects are not outside of the limits of the cell.</t>
  </si>
  <si>
    <t>Include mandatory meta feature objects QualityOfNonbathymetricData or DataCoverage.</t>
  </si>
  <si>
    <t xml:space="preserve">Remove non-significant zeroes. </t>
  </si>
  <si>
    <t>Remove duplicate value from geo object.</t>
  </si>
  <si>
    <t>Change character encoding to UTF-8.</t>
  </si>
  <si>
    <t>Ensure that name subattributes are populated with the correct values.</t>
  </si>
  <si>
    <t>Ensure that text subattributes are populated with the correct values.</t>
  </si>
  <si>
    <t>Ensure that national language attributes are populated with the correct values.</t>
  </si>
  <si>
    <t>Populate text attribute with English text.</t>
  </si>
  <si>
    <t>Populate name attribute with English text.</t>
  </si>
  <si>
    <t>Remove object or amend coverage.</t>
  </si>
  <si>
    <t>Ensure full coverage of QualityOfNonBathymetricData instance.</t>
  </si>
  <si>
    <t>Amend data order.</t>
  </si>
  <si>
    <t>Ensure values of periodicDateRange subattributes dateEnd and dateStart are logical.</t>
  </si>
  <si>
    <t>Generalise edge(s).</t>
  </si>
  <si>
    <t>Review time intervals and remove time overlap.</t>
  </si>
  <si>
    <t>Review service hour intervals and remove time overlap.</t>
  </si>
  <si>
    <t>Add file to exchange set or remove reference to file.</t>
  </si>
  <si>
    <t>Add dataset discovery metadata.</t>
  </si>
  <si>
    <t>Support file discovery metadata.</t>
  </si>
  <si>
    <t>Split the dataset along the 180° meridian.</t>
  </si>
  <si>
    <t>Amend values of dateEnd or dateStart accordingly.</t>
  </si>
  <si>
    <t>Populate at least one of dateEnd or dateStart.</t>
  </si>
  <si>
    <t>Populate year component of dateStart and dateEnd</t>
  </si>
  <si>
    <t>Populate information or onlineResource.</t>
  </si>
  <si>
    <t>Populate fileReference or text attribute.</t>
  </si>
  <si>
    <t>Populate source Indication.</t>
  </si>
  <si>
    <t>Populate at least one sub-attribute of contactAddress.</t>
  </si>
  <si>
    <t>Populate at least one of graphic and textContent.</t>
  </si>
  <si>
    <t>Populate at least one attribute of Applicability.</t>
  </si>
  <si>
    <t>Populate at least one of dateFixed, dateVariable, and information.</t>
  </si>
  <si>
    <t>Populate at least one attribute of ContactDetails.</t>
  </si>
  <si>
    <t>Correct or remove the association, or add the missing feature or information type.</t>
  </si>
  <si>
    <t>Remove the categoryOfTrafficSeparationScheme attribute.</t>
  </si>
  <si>
    <t>Add a ContactDetails object and associate the UKCM feature to it.</t>
  </si>
  <si>
    <t>Add a ContactDetails object and associate the WaterwayArea feature to it.</t>
  </si>
  <si>
    <t>Populate at least one of underkeelAllowance Fixed/Variable/BeamBased sub-attributes.</t>
  </si>
  <si>
    <t>Populate sub-attribute operation.</t>
  </si>
  <si>
    <t>Remove the categoryOfNavigationLine attribute.</t>
  </si>
  <si>
    <t>Populate language</t>
  </si>
  <si>
    <t>B, S</t>
  </si>
  <si>
    <t>B, U, S</t>
  </si>
  <si>
    <t>B, U</t>
  </si>
  <si>
    <t>U</t>
  </si>
  <si>
    <t>Apply To</t>
  </si>
  <si>
    <t>Remarks</t>
  </si>
  <si>
    <t>127_Ed1_100</t>
  </si>
  <si>
    <t>127_Ed1_102</t>
  </si>
  <si>
    <t>127_Ed1_103</t>
  </si>
  <si>
    <t>127_Ed1_105</t>
  </si>
  <si>
    <t>127_Ed1_106</t>
  </si>
  <si>
    <t>127_Ed1_114</t>
  </si>
  <si>
    <t>127_Ed1_115</t>
  </si>
  <si>
    <t>127_Ed1_116</t>
  </si>
  <si>
    <t>127_Ed1_117</t>
  </si>
  <si>
    <t>127_Ed1_118</t>
  </si>
  <si>
    <t>127_Ed1_119</t>
  </si>
  <si>
    <t>127_Ed1_120</t>
  </si>
  <si>
    <t>127_Ed1_122 </t>
  </si>
  <si>
    <t>127_Ed1_126</t>
  </si>
  <si>
    <t>127_Ed1_127</t>
  </si>
  <si>
    <t>127_Ed1_129</t>
  </si>
  <si>
    <t>127_Ed1_132</t>
  </si>
  <si>
    <t>127_Ed1_133</t>
  </si>
  <si>
    <t>127_Ed1_134</t>
  </si>
  <si>
    <t>127_Ed1_136</t>
  </si>
  <si>
    <t>127_Ed1_137</t>
  </si>
  <si>
    <t>127_Ed1_138</t>
  </si>
  <si>
    <t>127_Ed1_139</t>
  </si>
  <si>
    <t>127_Ed1_143</t>
  </si>
  <si>
    <t>127_Ed1_144</t>
  </si>
  <si>
    <t>127_Ed1_145</t>
  </si>
  <si>
    <t>127_Ed1_146</t>
  </si>
  <si>
    <t>127_Ed1_147</t>
  </si>
  <si>
    <t>127_Ed1_148</t>
  </si>
  <si>
    <t>127_Ed1_149</t>
  </si>
  <si>
    <t>127_Ed1_151</t>
  </si>
  <si>
    <t>127_Ed1_152</t>
  </si>
  <si>
    <t>127_Ed1_153</t>
  </si>
  <si>
    <t>127_Ed1_154</t>
  </si>
  <si>
    <t>127_Ed1_155</t>
  </si>
  <si>
    <t>127_Ed1_170</t>
  </si>
  <si>
    <t>127_Ed1_172</t>
  </si>
  <si>
    <t>127_Ed1_173</t>
  </si>
  <si>
    <t>127_Ed1_174</t>
  </si>
  <si>
    <t>127_Ed1_175</t>
  </si>
  <si>
    <t>127_Ed1_176</t>
  </si>
  <si>
    <t>127_Ed1_177</t>
  </si>
  <si>
    <t>127_Ed1_178</t>
  </si>
  <si>
    <t>127_Ed1_179</t>
  </si>
  <si>
    <t>2.0.0</t>
  </si>
  <si>
    <t>Covered by generic check(s) in S-158:100.</t>
  </si>
  <si>
    <t>PS</t>
  </si>
  <si>
    <t>DCEG</t>
  </si>
  <si>
    <t>PS; DCEG</t>
  </si>
  <si>
    <t>E</t>
  </si>
  <si>
    <t>C</t>
  </si>
  <si>
    <t>W</t>
  </si>
  <si>
    <t>[5.2.2]; [4.1]</t>
  </si>
  <si>
    <t>Character encoding for text must be UTF-8.</t>
  </si>
  <si>
    <t>Clause ref. updated in 2.0.0. Message harmonized with S-131 check</t>
  </si>
  <si>
    <t>Values of “name” sub attribute of “featureName” are identical.</t>
  </si>
  <si>
    <t>Values for “text” sub-attribute of “information” are identical.</t>
  </si>
  <si>
    <t>2.7.1</t>
  </si>
  <si>
    <t>N/A</t>
  </si>
  <si>
    <t>Condition updated. Message harmonized with S-131 checks</t>
  </si>
  <si>
    <t>Message harmonized with S-131 checks</t>
  </si>
  <si>
    <t>Clause ref. updated in 2.0.0; check reformulated</t>
  </si>
  <si>
    <t>If the srsName values encoded in the dataset are different from http://www.opengis.net/def/crs/EPSG/0/4326</t>
  </si>
  <si>
    <t>Horizontal CRS is not EPSG 4326.</t>
  </si>
  <si>
    <t>Clause ref. updated in 2.0.0</t>
  </si>
  <si>
    <t>Reclassified W as in S-131</t>
  </si>
  <si>
    <t>Reformulated in terms of  display scale, refs. Updated</t>
  </si>
  <si>
    <t>No discovery metadata for catalogue.</t>
  </si>
  <si>
    <t>For each catalogue in the exchange set for which there is no discovery metadata  in the exchange catalogue</t>
  </si>
  <si>
    <t>Add discovery metadata to exchange catalogue or remove catalogue from exchange set.</t>
  </si>
  <si>
    <t>Modified to reflect use of file-less cancellation</t>
  </si>
  <si>
    <t>2.4.8.2</t>
  </si>
  <si>
    <t>2.5.5.6</t>
  </si>
  <si>
    <t>For each update dataset, without a feature or information type, or spatial object</t>
  </si>
  <si>
    <t>Add updated feature or information type.</t>
  </si>
  <si>
    <t>Only file-less cancellation is permitted</t>
  </si>
  <si>
    <t>6.2.1</t>
  </si>
  <si>
    <t>Values have been padded with non-significant zeroes.</t>
  </si>
  <si>
    <t>[7.3]; [2.6.3]</t>
  </si>
  <si>
    <t>2.4.10.3</t>
  </si>
  <si>
    <t>7.9.1</t>
  </si>
  <si>
    <t>[7.4]; [2.6.10]</t>
  </si>
  <si>
    <t>[12.16]; [5.2.1]</t>
  </si>
  <si>
    <t>various</t>
  </si>
  <si>
    <t>Encoding instructions for features and information types using attribute information</t>
  </si>
  <si>
    <t>5.2.1, various</t>
  </si>
  <si>
    <t>14.5.1</t>
  </si>
  <si>
    <t>14.4.2</t>
  </si>
  <si>
    <t>[12.13]; [14.4.1]</t>
  </si>
  <si>
    <t>6.2.2</t>
  </si>
  <si>
    <t>8.3.1</t>
  </si>
  <si>
    <t>8.4.1</t>
  </si>
  <si>
    <t>8.2.2</t>
  </si>
  <si>
    <t>Complex attribute rxNCode must have at least one sub-attribute populated</t>
  </si>
  <si>
    <t>For each complex attribute rxNCode with none of its sub-attributes populated</t>
  </si>
  <si>
    <t>Delete or amend rxNCode</t>
  </si>
  <si>
    <t>12.2.2</t>
  </si>
  <si>
    <t>B,U</t>
  </si>
  <si>
    <t>Overlapping datasets within the same scale range</t>
  </si>
  <si>
    <t>Datasets in the same scale range have overlapping DataCoverage features</t>
  </si>
  <si>
    <t>Correct coverages or scale ranges</t>
  </si>
  <si>
    <t>Schema location missing or incorrect</t>
  </si>
  <si>
    <t>If there is no schemaLocation attribute on the root element of the dataset or the schemaLocation attribute does not indicate the GML schema for this edition of the Product Specification.</t>
  </si>
  <si>
    <t>Amend dataset to use correct schemaLocation</t>
  </si>
  <si>
    <t>12.1.1</t>
  </si>
  <si>
    <t>Update cannot change limits of coverages</t>
  </si>
  <si>
    <t xml:space="preserve"> An update dataset changes the limit of a DataCoverage feature for the base dataset.</t>
  </si>
  <si>
    <t>Amend DataCoverage object or create new edition</t>
  </si>
  <si>
    <t>For each information attribute where fileReference references a text file and the fileLocator attribute is populated.</t>
  </si>
  <si>
    <t>Amend fileReference or use HTML support file</t>
  </si>
  <si>
    <t>2.4.9.2</t>
  </si>
  <si>
    <t>File locator does not reference a location in the file</t>
  </si>
  <si>
    <t>For each fileLocator with a value that does not indicate a location within the referenced file.</t>
  </si>
  <si>
    <t>Amend fileLocator value</t>
  </si>
  <si>
    <t>Complex attribute sourceIndication must have at least one sub-attribute populated</t>
  </si>
  <si>
    <t>For each complex attribute sourceIndication with none of its sub-attributes populated</t>
  </si>
  <si>
    <t>Delete or amend sourceIndication</t>
  </si>
  <si>
    <t>Repeated attribute value</t>
  </si>
  <si>
    <t>For each attribute with the same values as another instance of the same attribute bound to the same feature, information type, or complex attribute</t>
  </si>
  <si>
    <t>Evaluate necessity for repetition and consider deletion of repeated instance</t>
  </si>
  <si>
    <t>6.1, 6.2, 7.9.3</t>
  </si>
  <si>
    <t>2.4.10.3, 14.5.1</t>
  </si>
  <si>
    <t>B</t>
  </si>
  <si>
    <t>B,U,S</t>
  </si>
  <si>
    <t>Applies to exchange sets</t>
  </si>
  <si>
    <t>Maximum display scale is larger or equal to the value of the minimum display scale.</t>
  </si>
  <si>
    <t>For each DataCoverage feature where the attributes maximum display scale and minimum display scale are Present AND value of maximum display scale is larger or equal to the value of the minimum display scales.</t>
  </si>
  <si>
    <t>Correct values of maximum and minimum display scales.</t>
  </si>
  <si>
    <t>4.4.1</t>
  </si>
  <si>
    <t>Dataset contains overlapping DataCoverage features.</t>
  </si>
  <si>
    <t>For each DataCoverage feature that OVERLAPS or is WITHIN another DataCoverage.</t>
  </si>
  <si>
    <t>Remove overlap.</t>
  </si>
  <si>
    <t>DataCoverage features have different values of  the attribute minimum display scale.</t>
  </si>
  <si>
    <t>For each DataCoverage feature where the value of  the attribute minimum display scale is different from other Data Coverage meta features.</t>
  </si>
  <si>
    <t>Use the same values of minimum display scale.</t>
  </si>
  <si>
    <t>Different languages information refers to the same external file and its fragment.</t>
  </si>
  <si>
    <t>Replace with the correct fileLocator and fileReference combination.</t>
  </si>
  <si>
    <t>File reference attribute refers to a file with inadmissible format.</t>
  </si>
  <si>
    <t>For each information complex attribute where  the sub-attribute fileReference  has a file name with extension which is not equal one of .TXT or .HTM.</t>
  </si>
  <si>
    <t>Correct fileReference value and/or support file type.</t>
  </si>
  <si>
    <t>Text attribute contains more than 300 characters.</t>
  </si>
  <si>
    <t>For each instance of the text attribute that contains more than 300 characters</t>
  </si>
  <si>
    <t>Reduce content of text attribute or move to support file.</t>
  </si>
  <si>
    <t>SpatialQuality is associated with a Surface spatial object.</t>
  </si>
  <si>
    <t>For each SpatialQuality information type which is referenced by a Surface spatial object.</t>
  </si>
  <si>
    <t>Remove prohibited association.</t>
  </si>
  <si>
    <t>14.1</t>
  </si>
  <si>
    <t>Prohibited vertical uncertainty attribute of SpatialQuality for curve spatial object.</t>
  </si>
  <si>
    <t>For each SpatialQuality information type which has vertical uncertainty populated and is referenced by a Curve or Composite Curve spatial object.</t>
  </si>
  <si>
    <t>Language code not from ISO 639-2/T list.</t>
  </si>
  <si>
    <t>Correct language code.</t>
  </si>
  <si>
    <t>2.4.8.3</t>
  </si>
  <si>
    <t>For each feature instance that does not OVERLAP OR is WITHIN an area of DataCoverage</t>
  </si>
  <si>
    <t>Set the horizontal CRS to EPSG 4326 using the OGC URI convention.</t>
  </si>
  <si>
    <t>15.5.1</t>
  </si>
  <si>
    <t>Implicit, but add explicit statement that the target must be in the same dataset</t>
  </si>
  <si>
    <t>2.4.8.5</t>
  </si>
  <si>
    <t>File locators for text files are prohibited</t>
  </si>
  <si>
    <t>Complex attribute bearingInformation must have at least one sub-attribute populated</t>
  </si>
  <si>
    <t>For each complex attribute bearingInformation with none of its sub-attributes populated</t>
  </si>
  <si>
    <t>Delete or amend bearingInformation</t>
  </si>
  <si>
    <t>Value required for mandatory attribute</t>
  </si>
  <si>
    <t>For each attribute binding listed in in DCEG clause 2.4 as not nillableAND which is not populated</t>
  </si>
  <si>
    <t>Populate attribute</t>
  </si>
  <si>
    <t>Each RadioCallingInPoint feature of type point must carry at least one orientation</t>
  </si>
  <si>
    <t>For each RadioCallingInPoint feature of type point with attribute orientation omitted</t>
  </si>
  <si>
    <t>Populate attribute orientation</t>
  </si>
  <si>
    <t>7.4.2</t>
  </si>
  <si>
    <t>Direction of RadioCallingInPoint curve does not conform to digitising direction requirement</t>
  </si>
  <si>
    <t>Correct direction of line</t>
  </si>
  <si>
    <t>RadioCallingInPoint features of type curve must be encoded such that resultant direction of the  line (accounting for the direction of digitising and any subsequent reversal of the curve) is such that the direction of traffic that is required to report is to the right.</t>
  </si>
  <si>
    <t>CautionArea features of type surface shares or COINCIDES with the geometry of features such as Depth Contour (S-101) and other features with higher ECDIS display priorities</t>
  </si>
  <si>
    <t>Adjust CautionArea</t>
  </si>
  <si>
    <t>10.2.2</t>
  </si>
  <si>
    <t>CautionArea may have "open-ended" appearance</t>
  </si>
  <si>
    <t>Nilled attribute code populated with non-nil code value</t>
  </si>
  <si>
    <t>For each nillable enumeration or codelist attribute where xsi:nil=true but attribute code is present and populated with a value &gt; 0</t>
  </si>
  <si>
    <t>Amend value of code or remove nilling</t>
  </si>
  <si>
    <t>B.U</t>
  </si>
  <si>
    <t>Nilled attribute without nilReason populated</t>
  </si>
  <si>
    <t>For each nilled attribute without nilReason populated</t>
  </si>
  <si>
    <t>Populate nilReason for nilled attributes</t>
  </si>
  <si>
    <t xml:space="preserve">Duplicate identifiers exist within the dataset. </t>
  </si>
  <si>
    <t>For each feature record where the identifier is not unique WITHIN the dataset.</t>
  </si>
  <si>
    <t>Ensure that no duplicate identifiers exist.</t>
  </si>
  <si>
    <t xml:space="preserve">Mandatory meta feature objects are missing. </t>
  </si>
  <si>
    <t>Text field is not encoded using UTF-8</t>
  </si>
  <si>
    <t>For each feature instance where more than one featureName is present, and the name and nameUsage subattributes of two or more featureName instances are equal.</t>
  </si>
  <si>
    <t xml:space="preserve">For each linear geometry which contains vertices at a density Greater than 0.3mm at maximumDisplayScale. </t>
  </si>
  <si>
    <t>For each file referenced by the catalogue file in the exchange set and not present in the exchange set and not cancelled by discovery metadata.</t>
  </si>
  <si>
    <t>dateEnd precedes or coincides with dateStart.</t>
  </si>
  <si>
    <t>For each fixedDateRange where dateEnd and dateStart are not Null and dateEnd precedes or coincides with dateStart.</t>
  </si>
  <si>
    <t>For each cancellation (termination (discovery metadata record with purpose=cancellation) of a dataset where the update exchange set contains a corresponding dataset file.</t>
  </si>
  <si>
    <t>Remove the dataset file from the exchange set or correct the discovery metadata.</t>
  </si>
  <si>
    <r>
      <t xml:space="preserve">For each feature, information type or complex attribute where two or more </t>
    </r>
    <r>
      <rPr>
        <i/>
        <sz val="10"/>
        <rFont val="Calibri"/>
        <family val="2"/>
        <scheme val="minor"/>
      </rPr>
      <t>information</t>
    </r>
    <r>
      <rPr>
        <sz val="10"/>
        <rFont val="Calibri"/>
        <family val="2"/>
        <scheme val="minor"/>
      </rPr>
      <t xml:space="preserve"> complex attributes are present AND they have different language value AND identical pair of  notNull values of the sub-attributes fileLocator and fileReference.</t>
    </r>
  </si>
  <si>
    <r>
      <t xml:space="preserve">For each </t>
    </r>
    <r>
      <rPr>
        <i/>
        <sz val="10"/>
        <rFont val="Calibri"/>
        <family val="2"/>
        <scheme val="minor"/>
      </rPr>
      <t>language</t>
    </r>
    <r>
      <rPr>
        <sz val="10"/>
        <rFont val="Calibri"/>
        <family val="2"/>
        <scheme val="minor"/>
      </rPr>
      <t xml:space="preserve"> attribute which is populated with a value other than one of the 3-character ISO 639-2/T codes in the S-100 languages list on the schema server.</t>
    </r>
  </si>
  <si>
    <t>Producers may further restrict allowed values of nilReason.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</si>
</sst>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11">
    <font>
      <sz val="11"/>
      <color theme="1"/>
      <name val="Calibri"/>
      <charset val="134"/>
      <scheme val="minor"/>
    </font>
    <font>
      <sz val="12"/>
      <color theme="1"/>
      <name val="Calibri"/>
      <charset val="134"/>
      <scheme val="minor"/>
    </font>
    <font>
      <b/>
      <sz val="14"/>
      <color theme="1"/>
      <name val="Calibri"/>
      <charset val="134"/>
      <scheme val="minor"/>
    </font>
    <font>
      <b/>
      <sz val="12"/>
      <color theme="1"/>
      <name val="Calibri"/>
      <charset val="134"/>
      <scheme val="minor"/>
    </font>
    <font>
      <i/>
      <sz val="12"/>
      <color theme="9" tint="-0.249977111117893"/>
      <name val="Calibri"/>
      <charset val="134"/>
      <scheme val="minor"/>
    </font>
    <font>
      <sz val="11"/>
      <color rgb="FF9C6500"/>
      <name val="Calibri"/>
      <charset val="134"/>
      <scheme val="minor"/>
    </font>
    <font>
      <sz val="11"/>
      <color rgb="FF006100"/>
      <name val="Calibri"/>
      <charset val="134"/>
      <scheme val="minor"/>
    </font>
    <font>
      <i/>
      <sz val="12"/>
      <color theme="9" tint="-0.249977111117893"/>
      <name val="Calibri"/>
      <family val="2"/>
      <scheme val="minor"/>
    </font>
    <font>
      <sz val="10"/>
      <name val="Calibri"/>
      <family val="2"/>
      <scheme val="minor"/>
    </font>
    <font>
      <i/>
      <sz val="10"/>
      <name val="Calibri"/>
      <family val="2"/>
      <scheme val="minor"/>
    </font>
    <font>
      <sz val="11"/>
      <name val="Calibri"/>
      <family val="2"/>
      <scheme val="minor"/>
    </font>
  </fonts>
  <fills count="11">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rgb="FFC6EFCE"/>
        <bgColor indexed="64"/>
      </patternFill>
    </fill>
    <fill>
      <patternFill patternType="solid">
        <fgColor theme="0" tint="-0.14996795556505021"/>
        <bgColor indexed="64"/>
      </patternFill>
    </fill>
    <fill>
      <patternFill patternType="solid">
        <fgColor rgb="FFFFFFFF"/>
        <bgColor indexed="64"/>
      </patternFill>
    </fill>
  </fills>
  <borders count="17">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000000"/>
      </left>
      <right style="medium">
        <color rgb="FF000000"/>
      </right>
      <top/>
      <bottom style="medium">
        <color rgb="FF000000"/>
      </bottom>
      <diagonal/>
    </border>
    <border>
      <left style="medium">
        <color rgb="FF000000"/>
      </left>
      <right style="medium">
        <color auto="1"/>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5" fillId="7" borderId="0" applyNumberFormat="0" applyBorder="0" applyAlignment="0" applyProtection="0"/>
    <xf numFmtId="0" fontId="6" fillId="8" borderId="0" applyNumberFormat="0" applyBorder="0" applyAlignment="0" applyProtection="0"/>
  </cellStyleXfs>
  <cellXfs count="70">
    <xf numFmtId="0" fontId="0" fillId="0" borderId="0" xfId="0"/>
    <xf numFmtId="0" fontId="1" fillId="0" borderId="0" xfId="0" applyFont="1"/>
    <xf numFmtId="0" fontId="0" fillId="0" borderId="0" xfId="0" applyAlignment="1">
      <alignment horizontal="right" vertical="center"/>
    </xf>
    <xf numFmtId="0" fontId="0" fillId="0" borderId="0" xfId="0" applyAlignment="1">
      <alignment horizontal="right"/>
    </xf>
    <xf numFmtId="0" fontId="3" fillId="4" borderId="5" xfId="0" applyFont="1" applyFill="1" applyBorder="1" applyAlignment="1">
      <alignment horizontal="right" vertical="center"/>
    </xf>
    <xf numFmtId="0" fontId="4" fillId="3" borderId="0" xfId="0" applyFont="1" applyFill="1" applyAlignment="1">
      <alignment horizontal="left" vertical="center"/>
    </xf>
    <xf numFmtId="0" fontId="1" fillId="3" borderId="0" xfId="0" applyFont="1" applyFill="1"/>
    <xf numFmtId="0" fontId="4" fillId="3" borderId="0" xfId="0" applyFont="1" applyFill="1" applyAlignment="1">
      <alignment horizontal="center" vertical="center"/>
    </xf>
    <xf numFmtId="165" fontId="4" fillId="3" borderId="0" xfId="0" applyNumberFormat="1" applyFont="1" applyFill="1" applyAlignment="1">
      <alignment horizontal="center" vertical="center"/>
    </xf>
    <xf numFmtId="164" fontId="4" fillId="3" borderId="0" xfId="0" applyNumberFormat="1" applyFont="1" applyFill="1" applyAlignment="1">
      <alignment horizontal="center" vertical="center"/>
    </xf>
    <xf numFmtId="14" fontId="4" fillId="3" borderId="0" xfId="0" applyNumberFormat="1" applyFont="1" applyFill="1" applyAlignment="1">
      <alignment horizontal="center" vertical="center"/>
    </xf>
    <xf numFmtId="0" fontId="3" fillId="5" borderId="5" xfId="0" applyFont="1" applyFill="1" applyBorder="1" applyAlignment="1">
      <alignment horizontal="right" vertical="center"/>
    </xf>
    <xf numFmtId="0" fontId="3" fillId="5" borderId="0" xfId="0" applyFont="1" applyFill="1" applyAlignment="1">
      <alignment horizontal="center" vertical="center"/>
    </xf>
    <xf numFmtId="0" fontId="3" fillId="5" borderId="0" xfId="0" applyFont="1" applyFill="1"/>
    <xf numFmtId="0" fontId="4" fillId="3" borderId="6" xfId="0" applyFont="1" applyFill="1" applyBorder="1"/>
    <xf numFmtId="0" fontId="4" fillId="3" borderId="7" xfId="0" applyFont="1" applyFill="1" applyBorder="1" applyAlignment="1">
      <alignment horizontal="left" vertical="center"/>
    </xf>
    <xf numFmtId="0" fontId="4" fillId="3" borderId="0" xfId="0" applyFont="1" applyFill="1" applyAlignment="1">
      <alignment horizontal="left"/>
    </xf>
    <xf numFmtId="0" fontId="1" fillId="3" borderId="7" xfId="0" applyFont="1" applyFill="1" applyBorder="1" applyAlignment="1">
      <alignment horizontal="left"/>
    </xf>
    <xf numFmtId="0" fontId="1" fillId="3" borderId="7" xfId="0" applyFont="1" applyFill="1" applyBorder="1"/>
    <xf numFmtId="0" fontId="1" fillId="3" borderId="0" xfId="0" applyFont="1" applyFill="1" applyAlignment="1">
      <alignment horizontal="left"/>
    </xf>
    <xf numFmtId="0" fontId="1" fillId="3" borderId="9" xfId="0" applyFont="1" applyFill="1" applyBorder="1" applyAlignment="1">
      <alignment horizontal="right" vertical="center"/>
    </xf>
    <xf numFmtId="0" fontId="1" fillId="3" borderId="10" xfId="0" applyFont="1" applyFill="1" applyBorder="1" applyAlignment="1">
      <alignment horizontal="right"/>
    </xf>
    <xf numFmtId="0" fontId="1" fillId="3" borderId="10" xfId="0" applyFont="1" applyFill="1" applyBorder="1"/>
    <xf numFmtId="0" fontId="1" fillId="0" borderId="0" xfId="0" applyFont="1" applyAlignment="1">
      <alignment horizontal="right" vertical="center"/>
    </xf>
    <xf numFmtId="0" fontId="1" fillId="0" borderId="0" xfId="0" applyFont="1" applyAlignment="1">
      <alignment horizontal="right"/>
    </xf>
    <xf numFmtId="0" fontId="2" fillId="0" borderId="0" xfId="0" applyFont="1"/>
    <xf numFmtId="0" fontId="1" fillId="3" borderId="12" xfId="0" applyFont="1" applyFill="1" applyBorder="1"/>
    <xf numFmtId="0" fontId="3" fillId="6" borderId="0" xfId="0" applyFont="1" applyFill="1"/>
    <xf numFmtId="0" fontId="4" fillId="3" borderId="0" xfId="0" applyFont="1" applyFill="1"/>
    <xf numFmtId="0" fontId="4" fillId="3" borderId="7" xfId="0" applyFont="1" applyFill="1" applyBorder="1"/>
    <xf numFmtId="0" fontId="4" fillId="3" borderId="8" xfId="0" applyFont="1" applyFill="1" applyBorder="1"/>
    <xf numFmtId="0" fontId="1" fillId="3" borderId="13" xfId="0" applyFont="1" applyFill="1" applyBorder="1"/>
    <xf numFmtId="49" fontId="7" fillId="3" borderId="0" xfId="0" applyNumberFormat="1" applyFont="1" applyFill="1" applyAlignment="1">
      <alignment horizontal="center"/>
    </xf>
    <xf numFmtId="0" fontId="7" fillId="3" borderId="6" xfId="0" applyFont="1" applyFill="1" applyBorder="1"/>
    <xf numFmtId="0" fontId="8" fillId="0" borderId="2" xfId="0" applyFont="1" applyBorder="1" applyAlignment="1">
      <alignment horizontal="center" vertical="center" wrapText="1"/>
    </xf>
    <xf numFmtId="0" fontId="8" fillId="0" borderId="0" xfId="0" applyFont="1"/>
    <xf numFmtId="0" fontId="8" fillId="9" borderId="1" xfId="0" applyFont="1" applyFill="1" applyBorder="1" applyAlignment="1">
      <alignment horizontal="center" vertical="center" wrapText="1"/>
    </xf>
    <xf numFmtId="0" fontId="7" fillId="3" borderId="0" xfId="0" applyFont="1" applyFill="1" applyAlignment="1">
      <alignment horizontal="left" vertical="center"/>
    </xf>
    <xf numFmtId="0" fontId="7" fillId="3" borderId="8" xfId="0" applyFont="1" applyFill="1" applyBorder="1" applyAlignment="1">
      <alignment horizontal="left"/>
    </xf>
    <xf numFmtId="0" fontId="7" fillId="3" borderId="0" xfId="0" applyFont="1" applyFill="1"/>
    <xf numFmtId="0" fontId="8" fillId="0" borderId="2" xfId="0" applyFont="1" applyBorder="1" applyAlignment="1">
      <alignment horizontal="left" vertical="center" wrapText="1"/>
    </xf>
    <xf numFmtId="0" fontId="8" fillId="9" borderId="1" xfId="0" applyFont="1" applyFill="1" applyBorder="1" applyAlignment="1">
      <alignment wrapText="1"/>
    </xf>
    <xf numFmtId="0" fontId="8" fillId="9" borderId="1" xfId="0" applyFont="1" applyFill="1" applyBorder="1" applyAlignment="1">
      <alignment horizontal="left" vertical="center" wrapText="1"/>
    </xf>
    <xf numFmtId="0" fontId="8" fillId="0" borderId="15"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wrapText="1"/>
    </xf>
    <xf numFmtId="0" fontId="8" fillId="0" borderId="1" xfId="0" applyFont="1" applyBorder="1" applyAlignment="1">
      <alignment vertical="center"/>
    </xf>
    <xf numFmtId="0" fontId="8" fillId="0" borderId="1" xfId="0" applyFont="1" applyBorder="1" applyAlignment="1">
      <alignment horizontal="center"/>
    </xf>
    <xf numFmtId="0" fontId="8" fillId="0" borderId="1" xfId="0" applyFont="1" applyBorder="1" applyAlignment="1">
      <alignment horizontal="left" wrapText="1"/>
    </xf>
    <xf numFmtId="0" fontId="8" fillId="0" borderId="1" xfId="0" applyFont="1" applyBorder="1"/>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8" fillId="0" borderId="1" xfId="1" applyFont="1" applyFill="1" applyBorder="1" applyAlignment="1">
      <alignment horizontal="left" vertical="center" wrapText="1"/>
    </xf>
    <xf numFmtId="0" fontId="8" fillId="0" borderId="1" xfId="2" applyFont="1" applyFill="1" applyBorder="1" applyAlignment="1">
      <alignment horizontal="left" vertical="center" wrapText="1"/>
    </xf>
    <xf numFmtId="0" fontId="8" fillId="0" borderId="1" xfId="0" applyFont="1" applyBorder="1" applyAlignment="1">
      <alignment horizontal="left" vertical="center"/>
    </xf>
    <xf numFmtId="0" fontId="8" fillId="10" borderId="1" xfId="0" applyFont="1" applyFill="1" applyBorder="1" applyAlignment="1">
      <alignment horizontal="justify" vertical="center" wrapText="1"/>
    </xf>
    <xf numFmtId="0" fontId="8" fillId="0" borderId="16" xfId="0" applyFont="1" applyBorder="1" applyAlignment="1">
      <alignment horizontal="left" vertical="center" wrapText="1"/>
    </xf>
    <xf numFmtId="0" fontId="8" fillId="0" borderId="16" xfId="0" applyFont="1" applyBorder="1" applyAlignment="1">
      <alignment horizontal="left" wrapText="1"/>
    </xf>
    <xf numFmtId="49" fontId="8" fillId="0" borderId="1" xfId="1" applyNumberFormat="1" applyFont="1" applyFill="1" applyBorder="1" applyAlignment="1">
      <alignment horizontal="left" vertical="center" wrapText="1"/>
    </xf>
    <xf numFmtId="0" fontId="8" fillId="0" borderId="15" xfId="0" applyFont="1" applyBorder="1" applyAlignment="1">
      <alignment horizontal="center"/>
    </xf>
    <xf numFmtId="0" fontId="8" fillId="10" borderId="14" xfId="0" applyFont="1" applyFill="1" applyBorder="1" applyAlignment="1">
      <alignment horizontal="justify" vertical="center" wrapText="1"/>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1" xfId="0" applyFont="1" applyFill="1" applyBorder="1" applyAlignment="1">
      <alignment horizontal="center" vertical="center"/>
    </xf>
    <xf numFmtId="0" fontId="3" fillId="5" borderId="5" xfId="0" applyFont="1" applyFill="1" applyBorder="1" applyAlignment="1">
      <alignment horizontal="right" vertical="center"/>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8" fillId="0" borderId="1" xfId="0" applyFont="1" applyBorder="1" applyAlignment="1">
      <alignment horizontal="justify" vertical="center" wrapText="1"/>
    </xf>
    <xf numFmtId="0" fontId="8" fillId="10" borderId="16" xfId="0" applyFont="1" applyFill="1" applyBorder="1" applyAlignment="1">
      <alignment horizontal="left" vertical="center" wrapText="1"/>
    </xf>
    <xf numFmtId="0" fontId="10" fillId="0" borderId="0" xfId="0" applyFont="1" applyAlignment="1">
      <alignment wrapText="1"/>
    </xf>
  </cellXfs>
  <cellStyles count="3">
    <cellStyle name="Good" xfId="2" builtinId="26"/>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workbookViewId="0">
      <selection activeCell="C9" sqref="C9"/>
    </sheetView>
  </sheetViews>
  <sheetFormatPr defaultColWidth="9" defaultRowHeight="15"/>
  <cols>
    <col min="1" max="1" width="4.85546875" customWidth="1"/>
    <col min="2" max="2" width="20.85546875" style="2" customWidth="1"/>
    <col min="3" max="3" width="36.42578125" style="3" customWidth="1"/>
    <col min="4" max="4" width="12.42578125" customWidth="1"/>
    <col min="5" max="6" width="14.7109375" customWidth="1"/>
    <col min="7" max="7" width="6.42578125" customWidth="1"/>
  </cols>
  <sheetData>
    <row r="2" spans="2:8" ht="33.6" customHeight="1">
      <c r="B2" s="61" t="s">
        <v>36</v>
      </c>
      <c r="C2" s="62"/>
      <c r="D2" s="62"/>
      <c r="E2" s="62"/>
      <c r="F2" s="62"/>
      <c r="G2" s="63"/>
      <c r="H2" s="25"/>
    </row>
    <row r="3" spans="2:8" s="1" customFormat="1" ht="20.45" customHeight="1">
      <c r="B3" s="4" t="s">
        <v>0</v>
      </c>
      <c r="C3" s="5" t="s">
        <v>29</v>
      </c>
      <c r="D3" s="6"/>
      <c r="E3" s="6"/>
      <c r="F3" s="6"/>
      <c r="G3" s="26"/>
    </row>
    <row r="4" spans="2:8" s="1" customFormat="1" ht="20.45" customHeight="1">
      <c r="B4" s="4" t="s">
        <v>1</v>
      </c>
      <c r="C4" s="37" t="s">
        <v>30</v>
      </c>
      <c r="D4" s="6"/>
      <c r="E4" s="6"/>
      <c r="F4" s="6"/>
      <c r="G4" s="26"/>
    </row>
    <row r="5" spans="2:8" s="1" customFormat="1" ht="20.45" customHeight="1">
      <c r="B5" s="4" t="s">
        <v>2</v>
      </c>
      <c r="C5" s="5" t="s">
        <v>3</v>
      </c>
      <c r="D5" s="6"/>
      <c r="E5" s="6"/>
      <c r="F5" s="6"/>
      <c r="G5" s="26"/>
    </row>
    <row r="6" spans="2:8" s="1" customFormat="1" ht="20.45" customHeight="1">
      <c r="B6" s="4" t="s">
        <v>4</v>
      </c>
      <c r="C6" s="7" t="s">
        <v>25</v>
      </c>
      <c r="D6" s="6"/>
      <c r="E6" s="6"/>
      <c r="F6" s="6"/>
      <c r="G6" s="26"/>
    </row>
    <row r="7" spans="2:8" s="1" customFormat="1" ht="20.45" customHeight="1">
      <c r="B7" s="4" t="s">
        <v>5</v>
      </c>
      <c r="C7" s="32" t="s">
        <v>31</v>
      </c>
      <c r="D7" s="6"/>
      <c r="E7" s="6"/>
      <c r="F7" s="6"/>
      <c r="G7" s="26"/>
    </row>
    <row r="8" spans="2:8" s="1" customFormat="1" ht="20.45" customHeight="1">
      <c r="B8" s="4" t="s">
        <v>6</v>
      </c>
      <c r="C8" s="8">
        <v>46104</v>
      </c>
      <c r="D8" s="6"/>
      <c r="E8" s="6"/>
      <c r="F8" s="6"/>
      <c r="G8" s="26"/>
    </row>
    <row r="9" spans="2:8" s="1" customFormat="1" ht="20.45" customHeight="1">
      <c r="B9" s="4" t="s">
        <v>7</v>
      </c>
      <c r="C9" s="9">
        <v>46023</v>
      </c>
      <c r="D9" s="6"/>
      <c r="E9" s="6"/>
      <c r="F9" s="6"/>
      <c r="G9" s="26"/>
    </row>
    <row r="10" spans="2:8" s="1" customFormat="1" ht="20.45" customHeight="1">
      <c r="B10" s="4" t="s">
        <v>8</v>
      </c>
      <c r="C10" s="10" t="s">
        <v>9</v>
      </c>
      <c r="D10" s="6"/>
      <c r="E10" s="6"/>
      <c r="F10" s="6"/>
      <c r="G10" s="26"/>
    </row>
    <row r="11" spans="2:8" s="1" customFormat="1" ht="20.45" customHeight="1">
      <c r="B11" s="4" t="s">
        <v>10</v>
      </c>
      <c r="C11" s="7" t="s">
        <v>32</v>
      </c>
      <c r="D11" s="6"/>
      <c r="E11" s="6"/>
      <c r="F11" s="6"/>
      <c r="G11" s="26"/>
    </row>
    <row r="12" spans="2:8" s="1" customFormat="1" ht="15" customHeight="1">
      <c r="B12" s="11"/>
      <c r="C12" s="12" t="s">
        <v>1</v>
      </c>
      <c r="D12" s="13" t="s">
        <v>11</v>
      </c>
      <c r="E12" s="27" t="s">
        <v>12</v>
      </c>
      <c r="F12" s="27"/>
      <c r="G12" s="26"/>
    </row>
    <row r="13" spans="2:8" s="1" customFormat="1" ht="20.45" customHeight="1">
      <c r="B13" s="64" t="s">
        <v>13</v>
      </c>
      <c r="C13" s="5" t="s">
        <v>33</v>
      </c>
      <c r="D13" s="33" t="s">
        <v>26</v>
      </c>
      <c r="E13" s="14"/>
      <c r="F13" s="28"/>
      <c r="G13" s="26"/>
    </row>
    <row r="14" spans="2:8" s="1" customFormat="1" ht="20.45" customHeight="1">
      <c r="B14" s="64"/>
      <c r="C14" s="15" t="s">
        <v>34</v>
      </c>
      <c r="D14" s="33" t="s">
        <v>26</v>
      </c>
      <c r="E14" s="29"/>
      <c r="F14" s="30"/>
      <c r="G14" s="26"/>
    </row>
    <row r="15" spans="2:8" s="1" customFormat="1" ht="20.45" customHeight="1">
      <c r="B15" s="64"/>
      <c r="C15" s="16" t="s">
        <v>35</v>
      </c>
      <c r="D15" s="33" t="s">
        <v>26</v>
      </c>
      <c r="E15" s="28"/>
      <c r="F15" s="29"/>
      <c r="G15" s="26"/>
    </row>
    <row r="16" spans="2:8" s="1" customFormat="1" ht="20.45" customHeight="1">
      <c r="B16" s="64"/>
      <c r="C16" s="38" t="s">
        <v>27</v>
      </c>
      <c r="D16" s="39" t="s">
        <v>28</v>
      </c>
      <c r="E16" s="18"/>
      <c r="F16" s="18"/>
      <c r="G16" s="26"/>
    </row>
    <row r="17" spans="2:7" s="1" customFormat="1" ht="20.45" customHeight="1">
      <c r="B17" s="64"/>
      <c r="C17" s="17"/>
      <c r="D17" s="18"/>
      <c r="E17" s="18"/>
      <c r="F17" s="18"/>
      <c r="G17" s="26"/>
    </row>
    <row r="18" spans="2:7" s="1" customFormat="1" ht="20.45" customHeight="1">
      <c r="B18" s="64"/>
      <c r="C18" s="19"/>
      <c r="D18" s="6"/>
      <c r="E18" s="6"/>
      <c r="F18" s="6"/>
      <c r="G18" s="26"/>
    </row>
    <row r="19" spans="2:7" s="1" customFormat="1" ht="20.45" customHeight="1">
      <c r="B19" s="20"/>
      <c r="C19" s="21"/>
      <c r="D19" s="22"/>
      <c r="E19" s="22"/>
      <c r="F19" s="22"/>
      <c r="G19" s="31"/>
    </row>
    <row r="20" spans="2:7" s="1" customFormat="1" ht="20.45" customHeight="1">
      <c r="B20" s="23"/>
      <c r="C20" s="24"/>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8"/>
  <sheetViews>
    <sheetView tabSelected="1" zoomScaleNormal="100" workbookViewId="0">
      <pane ySplit="1" topLeftCell="A57" activePane="bottomLeft" state="frozen"/>
      <selection pane="bottomLeft" activeCell="A46" sqref="A46"/>
    </sheetView>
  </sheetViews>
  <sheetFormatPr defaultColWidth="8.7109375" defaultRowHeight="13.5" thickBottom="1"/>
  <cols>
    <col min="1" max="1" width="13" style="47" customWidth="1"/>
    <col min="2" max="2" width="11.28515625" style="51" customWidth="1"/>
    <col min="3" max="3" width="12.7109375" style="47" customWidth="1"/>
    <col min="4" max="4" width="42.28515625" style="45" customWidth="1"/>
    <col min="5" max="5" width="58.85546875" style="45" customWidth="1"/>
    <col min="6" max="6" width="34.7109375" style="45" customWidth="1"/>
    <col min="7" max="7" width="18.140625" style="54" customWidth="1"/>
    <col min="8" max="8" width="16.28515625" style="47" customWidth="1"/>
    <col min="9" max="9" width="10.42578125" style="49" customWidth="1"/>
    <col min="10" max="10" width="8.28515625" style="49" customWidth="1"/>
    <col min="11" max="11" width="8" style="49" customWidth="1"/>
    <col min="12" max="12" width="9.42578125" style="45" customWidth="1"/>
    <col min="13" max="13" width="25.85546875" style="45" customWidth="1"/>
    <col min="14" max="16384" width="8.7109375" style="35"/>
  </cols>
  <sheetData>
    <row r="1" spans="1:13" ht="26.25" thickBot="1">
      <c r="A1" s="65" t="s">
        <v>14</v>
      </c>
      <c r="B1" s="65" t="s">
        <v>15</v>
      </c>
      <c r="C1" s="65" t="s">
        <v>16</v>
      </c>
      <c r="D1" s="65" t="s">
        <v>17</v>
      </c>
      <c r="E1" s="65" t="s">
        <v>18</v>
      </c>
      <c r="F1" s="65" t="s">
        <v>19</v>
      </c>
      <c r="G1" s="42" t="s">
        <v>20</v>
      </c>
      <c r="H1" s="36" t="s">
        <v>21</v>
      </c>
      <c r="I1" s="66" t="s">
        <v>22</v>
      </c>
      <c r="J1" s="66" t="s">
        <v>23</v>
      </c>
      <c r="K1" s="66" t="s">
        <v>24</v>
      </c>
      <c r="L1" s="41" t="s">
        <v>149</v>
      </c>
      <c r="M1" s="41" t="s">
        <v>150</v>
      </c>
    </row>
    <row r="2" spans="1:13" ht="26.25" thickBot="1">
      <c r="A2" s="44" t="s">
        <v>151</v>
      </c>
      <c r="B2" s="44" t="str">
        <f>_xlfn.CONCAT("127_", TEXT(ROW()-1, "0000"))</f>
        <v>127_0001</v>
      </c>
      <c r="C2" s="44" t="s">
        <v>200</v>
      </c>
      <c r="D2" s="50" t="s">
        <v>71</v>
      </c>
      <c r="E2" s="50" t="s">
        <v>37</v>
      </c>
      <c r="F2" s="50" t="s">
        <v>105</v>
      </c>
      <c r="G2" s="50" t="s">
        <v>197</v>
      </c>
      <c r="H2" s="44">
        <v>7.3</v>
      </c>
      <c r="I2" s="45" t="s">
        <v>31</v>
      </c>
      <c r="L2" s="45" t="s">
        <v>145</v>
      </c>
    </row>
    <row r="3" spans="1:13" ht="26.25" thickBot="1">
      <c r="A3" s="44" t="s">
        <v>152</v>
      </c>
      <c r="B3" s="44" t="str">
        <f t="shared" ref="B3:B40" si="0">_xlfn.CONCAT("127_", TEXT(ROW()-1, "0000"))</f>
        <v>127_0002</v>
      </c>
      <c r="C3" s="51" t="s">
        <v>200</v>
      </c>
      <c r="D3" s="50" t="s">
        <v>333</v>
      </c>
      <c r="E3" s="50" t="s">
        <v>334</v>
      </c>
      <c r="F3" s="50" t="s">
        <v>335</v>
      </c>
      <c r="G3" s="50" t="s">
        <v>197</v>
      </c>
      <c r="H3" s="44">
        <v>12.8</v>
      </c>
      <c r="I3" s="45" t="s">
        <v>31</v>
      </c>
      <c r="L3" s="45" t="s">
        <v>146</v>
      </c>
    </row>
    <row r="4" spans="1:13" ht="39" thickBot="1">
      <c r="A4" s="44" t="s">
        <v>153</v>
      </c>
      <c r="B4" s="44" t="str">
        <f t="shared" si="0"/>
        <v>127_0003</v>
      </c>
      <c r="C4" s="51" t="s">
        <v>201</v>
      </c>
      <c r="D4" s="50" t="s">
        <v>336</v>
      </c>
      <c r="E4" s="50" t="s">
        <v>38</v>
      </c>
      <c r="F4" s="50" t="s">
        <v>106</v>
      </c>
      <c r="G4" s="50" t="s">
        <v>198</v>
      </c>
      <c r="H4" s="44">
        <v>4.2</v>
      </c>
      <c r="I4" s="45" t="s">
        <v>31</v>
      </c>
      <c r="L4" s="45" t="s">
        <v>145</v>
      </c>
    </row>
    <row r="5" spans="1:13" ht="39" thickBot="1">
      <c r="A5" s="44" t="s">
        <v>154</v>
      </c>
      <c r="B5" s="44" t="str">
        <f t="shared" si="0"/>
        <v>127_0004</v>
      </c>
      <c r="C5" s="51" t="s">
        <v>202</v>
      </c>
      <c r="D5" s="52" t="s">
        <v>228</v>
      </c>
      <c r="E5" s="52" t="s">
        <v>39</v>
      </c>
      <c r="F5" s="52" t="s">
        <v>107</v>
      </c>
      <c r="G5" s="50" t="s">
        <v>197</v>
      </c>
      <c r="H5" s="44">
        <v>12.4</v>
      </c>
      <c r="I5" s="45" t="s">
        <v>31</v>
      </c>
      <c r="J5" s="45"/>
      <c r="K5" s="45"/>
      <c r="L5" s="45" t="s">
        <v>147</v>
      </c>
    </row>
    <row r="6" spans="1:13" ht="26.25" thickBot="1">
      <c r="A6" s="44" t="s">
        <v>155</v>
      </c>
      <c r="B6" s="44" t="str">
        <f t="shared" si="0"/>
        <v>127_0005</v>
      </c>
      <c r="C6" s="51" t="s">
        <v>202</v>
      </c>
      <c r="D6" s="52" t="s">
        <v>72</v>
      </c>
      <c r="E6" s="52" t="s">
        <v>40</v>
      </c>
      <c r="F6" s="52" t="s">
        <v>108</v>
      </c>
      <c r="G6" s="50" t="s">
        <v>199</v>
      </c>
      <c r="H6" s="44" t="s">
        <v>203</v>
      </c>
      <c r="I6" s="45" t="s">
        <v>31</v>
      </c>
      <c r="J6" s="45"/>
      <c r="K6" s="45"/>
      <c r="L6" s="45" t="s">
        <v>145</v>
      </c>
    </row>
    <row r="7" spans="1:13" ht="39" thickBot="1">
      <c r="A7" s="44" t="s">
        <v>156</v>
      </c>
      <c r="B7" s="44" t="str">
        <f t="shared" si="0"/>
        <v>127_0006</v>
      </c>
      <c r="C7" s="44" t="s">
        <v>200</v>
      </c>
      <c r="D7" s="55" t="s">
        <v>204</v>
      </c>
      <c r="E7" s="50" t="s">
        <v>337</v>
      </c>
      <c r="F7" s="53" t="s">
        <v>109</v>
      </c>
      <c r="G7" s="50" t="s">
        <v>197</v>
      </c>
      <c r="H7" s="44">
        <v>12.5</v>
      </c>
      <c r="I7" s="45" t="s">
        <v>31</v>
      </c>
      <c r="J7" s="45" t="s">
        <v>195</v>
      </c>
      <c r="K7" s="45"/>
      <c r="L7" s="45" t="s">
        <v>147</v>
      </c>
      <c r="M7" s="45" t="s">
        <v>205</v>
      </c>
    </row>
    <row r="8" spans="1:13" ht="39" thickBot="1">
      <c r="A8" s="44" t="s">
        <v>157</v>
      </c>
      <c r="B8" s="44" t="str">
        <f t="shared" si="0"/>
        <v>127_0007</v>
      </c>
      <c r="C8" s="44" t="s">
        <v>200</v>
      </c>
      <c r="D8" s="55" t="s">
        <v>206</v>
      </c>
      <c r="E8" s="55" t="s">
        <v>338</v>
      </c>
      <c r="F8" s="58" t="s">
        <v>110</v>
      </c>
      <c r="G8" s="55" t="s">
        <v>198</v>
      </c>
      <c r="H8" s="44" t="s">
        <v>208</v>
      </c>
      <c r="I8" s="45" t="s">
        <v>31</v>
      </c>
      <c r="J8" s="45" t="s">
        <v>195</v>
      </c>
      <c r="K8" s="45"/>
      <c r="L8" s="45" t="s">
        <v>147</v>
      </c>
      <c r="M8" s="45" t="s">
        <v>210</v>
      </c>
    </row>
    <row r="9" spans="1:13" ht="39" thickBot="1">
      <c r="A9" s="44" t="s">
        <v>158</v>
      </c>
      <c r="B9" s="44" t="str">
        <f t="shared" si="0"/>
        <v>127_0008</v>
      </c>
      <c r="C9" s="44" t="s">
        <v>202</v>
      </c>
      <c r="D9" s="55" t="s">
        <v>207</v>
      </c>
      <c r="E9" s="50" t="s">
        <v>41</v>
      </c>
      <c r="F9" s="50" t="s">
        <v>111</v>
      </c>
      <c r="G9" s="55" t="s">
        <v>209</v>
      </c>
      <c r="H9" s="44"/>
      <c r="I9" s="45" t="s">
        <v>31</v>
      </c>
      <c r="J9" s="49" t="s">
        <v>195</v>
      </c>
      <c r="L9" s="45" t="s">
        <v>147</v>
      </c>
      <c r="M9" s="45" t="s">
        <v>211</v>
      </c>
    </row>
    <row r="10" spans="1:13" ht="39" thickBot="1">
      <c r="A10" s="44" t="s">
        <v>159</v>
      </c>
      <c r="B10" s="44" t="str">
        <f t="shared" si="0"/>
        <v>127_0009</v>
      </c>
      <c r="C10" s="51" t="s">
        <v>202</v>
      </c>
      <c r="D10" s="50" t="s">
        <v>73</v>
      </c>
      <c r="E10" s="50" t="s">
        <v>42</v>
      </c>
      <c r="F10" s="50" t="s">
        <v>112</v>
      </c>
      <c r="G10" s="55" t="s">
        <v>209</v>
      </c>
      <c r="H10" s="44"/>
      <c r="I10" s="45" t="s">
        <v>31</v>
      </c>
      <c r="L10" s="45" t="s">
        <v>147</v>
      </c>
    </row>
    <row r="11" spans="1:13" ht="39" thickBot="1">
      <c r="A11" s="44" t="s">
        <v>160</v>
      </c>
      <c r="B11" s="44" t="str">
        <f t="shared" si="0"/>
        <v>127_0010</v>
      </c>
      <c r="C11" s="44" t="s">
        <v>202</v>
      </c>
      <c r="D11" s="50" t="s">
        <v>74</v>
      </c>
      <c r="E11" s="50" t="s">
        <v>43</v>
      </c>
      <c r="F11" s="50" t="s">
        <v>113</v>
      </c>
      <c r="G11" s="55" t="s">
        <v>197</v>
      </c>
      <c r="H11" s="44">
        <v>3</v>
      </c>
      <c r="I11" s="45" t="s">
        <v>31</v>
      </c>
      <c r="L11" s="45" t="s">
        <v>147</v>
      </c>
    </row>
    <row r="12" spans="1:13" ht="39" thickBot="1">
      <c r="A12" s="44" t="s">
        <v>161</v>
      </c>
      <c r="B12" s="44" t="str">
        <f t="shared" si="0"/>
        <v>127_0011</v>
      </c>
      <c r="C12" s="44" t="s">
        <v>202</v>
      </c>
      <c r="D12" s="50" t="s">
        <v>75</v>
      </c>
      <c r="E12" s="50" t="s">
        <v>44</v>
      </c>
      <c r="F12" s="50" t="s">
        <v>114</v>
      </c>
      <c r="G12" s="55" t="s">
        <v>197</v>
      </c>
      <c r="H12" s="44">
        <v>3</v>
      </c>
      <c r="I12" s="45" t="s">
        <v>31</v>
      </c>
      <c r="L12" s="45" t="s">
        <v>147</v>
      </c>
    </row>
    <row r="13" spans="1:13" ht="26.25" thickBot="1">
      <c r="A13" s="44" t="s">
        <v>162</v>
      </c>
      <c r="B13" s="44" t="str">
        <f t="shared" si="0"/>
        <v>127_0012</v>
      </c>
      <c r="C13" s="44" t="s">
        <v>201</v>
      </c>
      <c r="D13" s="55" t="s">
        <v>214</v>
      </c>
      <c r="E13" s="55" t="s">
        <v>213</v>
      </c>
      <c r="F13" s="56" t="s">
        <v>304</v>
      </c>
      <c r="G13" s="50" t="s">
        <v>197</v>
      </c>
      <c r="H13" s="44" t="s">
        <v>271</v>
      </c>
      <c r="I13" s="45" t="s">
        <v>31</v>
      </c>
      <c r="L13" s="45" t="s">
        <v>147</v>
      </c>
      <c r="M13" s="45" t="s">
        <v>212</v>
      </c>
    </row>
    <row r="14" spans="1:13" ht="26.25" thickBot="1">
      <c r="A14" s="44" t="s">
        <v>163</v>
      </c>
      <c r="B14" s="44" t="str">
        <f t="shared" si="0"/>
        <v>127_0013</v>
      </c>
      <c r="C14" s="51" t="s">
        <v>200</v>
      </c>
      <c r="D14" s="50" t="s">
        <v>76</v>
      </c>
      <c r="E14" s="50" t="s">
        <v>303</v>
      </c>
      <c r="F14" s="50" t="s">
        <v>115</v>
      </c>
      <c r="G14" s="55" t="s">
        <v>199</v>
      </c>
      <c r="H14" s="44" t="s">
        <v>229</v>
      </c>
      <c r="I14" s="45" t="s">
        <v>31</v>
      </c>
      <c r="L14" s="45" t="s">
        <v>145</v>
      </c>
    </row>
    <row r="15" spans="1:13" ht="26.25" thickBot="1">
      <c r="A15" s="44" t="s">
        <v>164</v>
      </c>
      <c r="B15" s="44" t="str">
        <f t="shared" si="0"/>
        <v>127_0014</v>
      </c>
      <c r="C15" s="44" t="s">
        <v>202</v>
      </c>
      <c r="D15" s="50" t="s">
        <v>77</v>
      </c>
      <c r="E15" s="50" t="s">
        <v>45</v>
      </c>
      <c r="F15" s="50" t="s">
        <v>116</v>
      </c>
      <c r="G15" s="50" t="s">
        <v>197</v>
      </c>
      <c r="H15" s="44">
        <v>12.9</v>
      </c>
      <c r="I15" s="45" t="s">
        <v>31</v>
      </c>
      <c r="L15" s="45" t="s">
        <v>145</v>
      </c>
    </row>
    <row r="16" spans="1:13" thickBot="1">
      <c r="A16" s="44" t="s">
        <v>165</v>
      </c>
      <c r="B16" s="44" t="str">
        <f t="shared" si="0"/>
        <v>127_0015</v>
      </c>
      <c r="C16" s="51" t="s">
        <v>202</v>
      </c>
      <c r="D16" s="50" t="s">
        <v>78</v>
      </c>
      <c r="E16" s="50" t="s">
        <v>46</v>
      </c>
      <c r="F16" s="50" t="s">
        <v>117</v>
      </c>
      <c r="G16" s="50" t="s">
        <v>197</v>
      </c>
      <c r="H16" s="44">
        <v>12.1</v>
      </c>
      <c r="I16" s="45" t="s">
        <v>31</v>
      </c>
      <c r="J16" s="49" t="s">
        <v>195</v>
      </c>
      <c r="L16" s="45" t="s">
        <v>147</v>
      </c>
      <c r="M16" s="45" t="s">
        <v>215</v>
      </c>
    </row>
    <row r="17" spans="1:13" ht="39" thickBot="1">
      <c r="A17" s="44" t="s">
        <v>166</v>
      </c>
      <c r="B17" s="44" t="str">
        <f t="shared" si="0"/>
        <v>127_0016</v>
      </c>
      <c r="C17" s="51" t="s">
        <v>202</v>
      </c>
      <c r="D17" s="50" t="s">
        <v>79</v>
      </c>
      <c r="E17" s="50" t="s">
        <v>47</v>
      </c>
      <c r="F17" s="50" t="s">
        <v>118</v>
      </c>
      <c r="G17" s="50" t="s">
        <v>198</v>
      </c>
      <c r="H17" s="44" t="s">
        <v>230</v>
      </c>
      <c r="I17" s="45" t="s">
        <v>31</v>
      </c>
      <c r="L17" s="45" t="s">
        <v>147</v>
      </c>
      <c r="M17" s="45" t="s">
        <v>216</v>
      </c>
    </row>
    <row r="18" spans="1:13" ht="26.25" thickBot="1">
      <c r="A18" s="44" t="s">
        <v>167</v>
      </c>
      <c r="B18" s="44" t="str">
        <f t="shared" si="0"/>
        <v>127_0017</v>
      </c>
      <c r="C18" s="51" t="s">
        <v>202</v>
      </c>
      <c r="D18" s="48" t="s">
        <v>80</v>
      </c>
      <c r="E18" s="48" t="s">
        <v>339</v>
      </c>
      <c r="F18" s="48" t="s">
        <v>119</v>
      </c>
      <c r="G18" s="54" t="s">
        <v>197</v>
      </c>
      <c r="H18" s="47" t="s">
        <v>231</v>
      </c>
      <c r="I18" s="45" t="s">
        <v>31</v>
      </c>
      <c r="L18" s="45" t="s">
        <v>147</v>
      </c>
      <c r="M18" s="45" t="s">
        <v>217</v>
      </c>
    </row>
    <row r="19" spans="1:13" ht="39" thickBot="1">
      <c r="A19" s="44" t="s">
        <v>168</v>
      </c>
      <c r="B19" s="44" t="str">
        <f t="shared" si="0"/>
        <v>127_0018</v>
      </c>
      <c r="C19" s="51" t="s">
        <v>202</v>
      </c>
      <c r="D19" s="48" t="s">
        <v>81</v>
      </c>
      <c r="E19" s="48" t="s">
        <v>48</v>
      </c>
      <c r="F19" s="48" t="s">
        <v>120</v>
      </c>
      <c r="G19" s="55" t="s">
        <v>198</v>
      </c>
      <c r="H19" s="47" t="s">
        <v>272</v>
      </c>
      <c r="I19" s="45" t="s">
        <v>31</v>
      </c>
      <c r="L19" s="45" t="s">
        <v>147</v>
      </c>
    </row>
    <row r="20" spans="1:13" ht="51.75" thickBot="1">
      <c r="A20" s="44" t="s">
        <v>169</v>
      </c>
      <c r="B20" s="44" t="str">
        <f t="shared" si="0"/>
        <v>127_0019</v>
      </c>
      <c r="C20" s="51" t="s">
        <v>202</v>
      </c>
      <c r="D20" s="48" t="s">
        <v>82</v>
      </c>
      <c r="E20" s="48" t="s">
        <v>49</v>
      </c>
      <c r="F20" s="48" t="s">
        <v>121</v>
      </c>
      <c r="G20" s="54" t="s">
        <v>198</v>
      </c>
      <c r="H20" s="47" t="s">
        <v>237</v>
      </c>
      <c r="I20" s="45" t="s">
        <v>31</v>
      </c>
      <c r="L20" s="45" t="s">
        <v>147</v>
      </c>
    </row>
    <row r="21" spans="1:13" ht="26.25" thickBot="1">
      <c r="A21" s="44" t="s">
        <v>170</v>
      </c>
      <c r="B21" s="44" t="str">
        <f t="shared" si="0"/>
        <v>127_0020</v>
      </c>
      <c r="C21" s="51" t="s">
        <v>201</v>
      </c>
      <c r="D21" s="48" t="s">
        <v>83</v>
      </c>
      <c r="E21" s="48" t="s">
        <v>50</v>
      </c>
      <c r="F21" s="48" t="s">
        <v>123</v>
      </c>
      <c r="G21" s="55" t="s">
        <v>197</v>
      </c>
      <c r="H21" s="44">
        <v>13.1</v>
      </c>
      <c r="I21" s="45" t="s">
        <v>31</v>
      </c>
      <c r="L21" s="45" t="s">
        <v>147</v>
      </c>
    </row>
    <row r="22" spans="1:13" ht="26.25" thickBot="1">
      <c r="A22" s="44" t="s">
        <v>171</v>
      </c>
      <c r="B22" s="44" t="str">
        <f t="shared" si="0"/>
        <v>127_0021</v>
      </c>
      <c r="C22" s="51" t="s">
        <v>201</v>
      </c>
      <c r="D22" s="48" t="s">
        <v>84</v>
      </c>
      <c r="E22" s="48" t="s">
        <v>51</v>
      </c>
      <c r="F22" s="48" t="s">
        <v>124</v>
      </c>
      <c r="G22" s="54" t="s">
        <v>197</v>
      </c>
      <c r="H22" s="47">
        <v>13.1</v>
      </c>
      <c r="I22" s="45" t="s">
        <v>31</v>
      </c>
      <c r="L22" s="45" t="s">
        <v>147</v>
      </c>
    </row>
    <row r="23" spans="1:13" ht="42" customHeight="1" thickBot="1">
      <c r="A23" s="44" t="s">
        <v>172</v>
      </c>
      <c r="B23" s="44" t="str">
        <f t="shared" si="0"/>
        <v>127_0022</v>
      </c>
      <c r="C23" s="51" t="s">
        <v>201</v>
      </c>
      <c r="D23" s="48" t="s">
        <v>85</v>
      </c>
      <c r="E23" s="48" t="s">
        <v>340</v>
      </c>
      <c r="F23" s="48" t="s">
        <v>122</v>
      </c>
      <c r="G23" s="54" t="s">
        <v>197</v>
      </c>
      <c r="H23" s="47">
        <v>14.1</v>
      </c>
      <c r="I23" s="45" t="s">
        <v>31</v>
      </c>
      <c r="J23" s="49" t="s">
        <v>195</v>
      </c>
      <c r="L23" s="45" t="s">
        <v>147</v>
      </c>
      <c r="M23" s="45" t="s">
        <v>221</v>
      </c>
    </row>
    <row r="24" spans="1:13" thickBot="1">
      <c r="A24" s="44" t="s">
        <v>173</v>
      </c>
      <c r="B24" s="44" t="str">
        <f t="shared" si="0"/>
        <v>127_0023</v>
      </c>
      <c r="C24" s="51" t="s">
        <v>200</v>
      </c>
      <c r="D24" s="48" t="s">
        <v>86</v>
      </c>
      <c r="E24" s="48" t="s">
        <v>52</v>
      </c>
      <c r="F24" s="48" t="s">
        <v>125</v>
      </c>
      <c r="G24" s="55" t="s">
        <v>199</v>
      </c>
      <c r="H24" s="44" t="s">
        <v>232</v>
      </c>
      <c r="I24" s="45" t="s">
        <v>31</v>
      </c>
      <c r="L24" s="45" t="s">
        <v>147</v>
      </c>
    </row>
    <row r="25" spans="1:13" ht="26.25" thickBot="1">
      <c r="A25" s="44" t="s">
        <v>174</v>
      </c>
      <c r="B25" s="44" t="str">
        <f t="shared" si="0"/>
        <v>127_0024</v>
      </c>
      <c r="C25" s="51" t="s">
        <v>200</v>
      </c>
      <c r="D25" s="48" t="s">
        <v>341</v>
      </c>
      <c r="E25" s="48" t="s">
        <v>342</v>
      </c>
      <c r="F25" s="48" t="s">
        <v>126</v>
      </c>
      <c r="G25" s="54" t="s">
        <v>198</v>
      </c>
      <c r="H25" s="47" t="s">
        <v>230</v>
      </c>
      <c r="I25" s="45" t="s">
        <v>31</v>
      </c>
      <c r="L25" s="45" t="s">
        <v>147</v>
      </c>
    </row>
    <row r="26" spans="1:13" ht="26.25" thickBot="1">
      <c r="A26" s="44" t="s">
        <v>175</v>
      </c>
      <c r="B26" s="44" t="str">
        <f t="shared" si="0"/>
        <v>127_0025</v>
      </c>
      <c r="C26" s="51" t="s">
        <v>200</v>
      </c>
      <c r="D26" s="48" t="s">
        <v>87</v>
      </c>
      <c r="E26" s="48" t="s">
        <v>60</v>
      </c>
      <c r="F26" s="48" t="s">
        <v>127</v>
      </c>
      <c r="G26" s="55" t="s">
        <v>199</v>
      </c>
      <c r="H26" s="44" t="s">
        <v>233</v>
      </c>
      <c r="I26" s="45" t="s">
        <v>31</v>
      </c>
      <c r="L26" s="45" t="s">
        <v>147</v>
      </c>
    </row>
    <row r="27" spans="1:13" ht="26.25" thickBot="1">
      <c r="A27" s="44" t="s">
        <v>176</v>
      </c>
      <c r="B27" s="44" t="str">
        <f t="shared" si="0"/>
        <v>127_0026</v>
      </c>
      <c r="C27" s="51" t="s">
        <v>200</v>
      </c>
      <c r="D27" s="48" t="s">
        <v>88</v>
      </c>
      <c r="E27" s="48" t="s">
        <v>61</v>
      </c>
      <c r="F27" s="48" t="s">
        <v>128</v>
      </c>
      <c r="G27" s="54" t="s">
        <v>209</v>
      </c>
      <c r="I27" s="45" t="s">
        <v>31</v>
      </c>
      <c r="L27" s="45" t="s">
        <v>147</v>
      </c>
    </row>
    <row r="28" spans="1:13" ht="26.25" thickBot="1">
      <c r="A28" s="44" t="s">
        <v>177</v>
      </c>
      <c r="B28" s="44" t="str">
        <f t="shared" si="0"/>
        <v>127_0027</v>
      </c>
      <c r="C28" s="51" t="s">
        <v>200</v>
      </c>
      <c r="D28" s="48" t="s">
        <v>89</v>
      </c>
      <c r="E28" s="48" t="s">
        <v>62</v>
      </c>
      <c r="F28" s="48" t="s">
        <v>129</v>
      </c>
      <c r="G28" s="55" t="s">
        <v>198</v>
      </c>
      <c r="H28" s="44" t="s">
        <v>222</v>
      </c>
      <c r="I28" s="45" t="s">
        <v>31</v>
      </c>
      <c r="L28" s="45" t="s">
        <v>147</v>
      </c>
    </row>
    <row r="29" spans="1:13" ht="39" thickBot="1">
      <c r="A29" s="44" t="s">
        <v>178</v>
      </c>
      <c r="B29" s="44" t="str">
        <f t="shared" si="0"/>
        <v>127_0028</v>
      </c>
      <c r="C29" s="51" t="s">
        <v>200</v>
      </c>
      <c r="D29" s="48" t="s">
        <v>90</v>
      </c>
      <c r="E29" s="48" t="s">
        <v>63</v>
      </c>
      <c r="F29" s="48" t="s">
        <v>130</v>
      </c>
      <c r="G29" s="55" t="s">
        <v>198</v>
      </c>
      <c r="H29" s="47" t="s">
        <v>236</v>
      </c>
      <c r="I29" s="45" t="s">
        <v>31</v>
      </c>
      <c r="L29" s="45" t="s">
        <v>147</v>
      </c>
      <c r="M29" s="45" t="s">
        <v>235</v>
      </c>
    </row>
    <row r="30" spans="1:13" ht="39" thickBot="1">
      <c r="A30" s="44" t="s">
        <v>179</v>
      </c>
      <c r="B30" s="44" t="str">
        <f t="shared" si="0"/>
        <v>127_0029</v>
      </c>
      <c r="C30" s="51" t="s">
        <v>202</v>
      </c>
      <c r="D30" s="48" t="s">
        <v>91</v>
      </c>
      <c r="E30" s="48" t="s">
        <v>64</v>
      </c>
      <c r="F30" s="48" t="s">
        <v>131</v>
      </c>
      <c r="G30" s="55" t="s">
        <v>198</v>
      </c>
      <c r="H30" s="47" t="s">
        <v>236</v>
      </c>
      <c r="I30" s="45" t="s">
        <v>31</v>
      </c>
      <c r="L30" s="45" t="s">
        <v>147</v>
      </c>
      <c r="M30" s="45" t="s">
        <v>235</v>
      </c>
    </row>
    <row r="31" spans="1:13" ht="26.25" thickBot="1">
      <c r="A31" s="44" t="s">
        <v>180</v>
      </c>
      <c r="B31" s="44" t="str">
        <f t="shared" si="0"/>
        <v>127_0030</v>
      </c>
      <c r="C31" s="51" t="s">
        <v>202</v>
      </c>
      <c r="D31" s="48" t="s">
        <v>92</v>
      </c>
      <c r="E31" s="48" t="s">
        <v>65</v>
      </c>
      <c r="F31" s="48" t="s">
        <v>132</v>
      </c>
      <c r="G31" s="55" t="s">
        <v>198</v>
      </c>
      <c r="H31" s="44" t="s">
        <v>238</v>
      </c>
      <c r="I31" s="45" t="s">
        <v>31</v>
      </c>
      <c r="L31" s="45" t="s">
        <v>147</v>
      </c>
    </row>
    <row r="32" spans="1:13" ht="26.25" thickBot="1">
      <c r="A32" s="44" t="s">
        <v>181</v>
      </c>
      <c r="B32" s="44" t="str">
        <f t="shared" si="0"/>
        <v>127_0031</v>
      </c>
      <c r="C32" s="51" t="s">
        <v>200</v>
      </c>
      <c r="D32" s="48" t="s">
        <v>93</v>
      </c>
      <c r="E32" s="48" t="s">
        <v>66</v>
      </c>
      <c r="F32" s="48" t="s">
        <v>133</v>
      </c>
      <c r="G32" s="55" t="s">
        <v>198</v>
      </c>
      <c r="H32" s="47">
        <v>13.1</v>
      </c>
      <c r="I32" s="45" t="s">
        <v>31</v>
      </c>
      <c r="L32" s="45" t="s">
        <v>147</v>
      </c>
    </row>
    <row r="33" spans="1:13" ht="26.25" thickBot="1">
      <c r="A33" s="44" t="s">
        <v>182</v>
      </c>
      <c r="B33" s="44" t="str">
        <f t="shared" si="0"/>
        <v>127_0032</v>
      </c>
      <c r="C33" s="51" t="s">
        <v>200</v>
      </c>
      <c r="D33" s="48" t="s">
        <v>94</v>
      </c>
      <c r="E33" s="48" t="s">
        <v>67</v>
      </c>
      <c r="F33" s="48" t="s">
        <v>134</v>
      </c>
      <c r="G33" s="55" t="s">
        <v>198</v>
      </c>
      <c r="H33" s="44" t="s">
        <v>305</v>
      </c>
      <c r="I33" s="45" t="s">
        <v>31</v>
      </c>
      <c r="L33" s="45" t="s">
        <v>147</v>
      </c>
    </row>
    <row r="34" spans="1:13" ht="26.25" thickBot="1">
      <c r="A34" s="44" t="s">
        <v>183</v>
      </c>
      <c r="B34" s="44" t="str">
        <f t="shared" si="0"/>
        <v>127_0033</v>
      </c>
      <c r="C34" s="51" t="s">
        <v>200</v>
      </c>
      <c r="D34" s="48" t="s">
        <v>95</v>
      </c>
      <c r="E34" s="48" t="s">
        <v>68</v>
      </c>
      <c r="F34" s="48" t="s">
        <v>135</v>
      </c>
      <c r="G34" s="55" t="s">
        <v>198</v>
      </c>
      <c r="H34" s="47">
        <v>14.6</v>
      </c>
      <c r="I34" s="45" t="s">
        <v>31</v>
      </c>
      <c r="L34" s="45" t="s">
        <v>147</v>
      </c>
    </row>
    <row r="35" spans="1:13" ht="26.25" thickBot="1">
      <c r="A35" s="44" t="s">
        <v>184</v>
      </c>
      <c r="B35" s="44" t="str">
        <f t="shared" si="0"/>
        <v>127_0034</v>
      </c>
      <c r="C35" s="51" t="s">
        <v>200</v>
      </c>
      <c r="D35" s="48" t="s">
        <v>96</v>
      </c>
      <c r="E35" s="48" t="s">
        <v>69</v>
      </c>
      <c r="F35" s="48" t="s">
        <v>136</v>
      </c>
      <c r="G35" s="55" t="s">
        <v>199</v>
      </c>
      <c r="H35" s="47" t="s">
        <v>239</v>
      </c>
      <c r="I35" s="45" t="s">
        <v>31</v>
      </c>
      <c r="L35" s="45" t="s">
        <v>147</v>
      </c>
    </row>
    <row r="36" spans="1:13" ht="39" thickBot="1">
      <c r="A36" s="44" t="s">
        <v>185</v>
      </c>
      <c r="B36" s="44" t="str">
        <f t="shared" si="0"/>
        <v>127_0035</v>
      </c>
      <c r="C36" s="51" t="s">
        <v>200</v>
      </c>
      <c r="D36" s="48" t="s">
        <v>97</v>
      </c>
      <c r="E36" s="48" t="s">
        <v>70</v>
      </c>
      <c r="F36" s="48" t="s">
        <v>137</v>
      </c>
      <c r="G36" s="54" t="s">
        <v>198</v>
      </c>
      <c r="H36" s="47" t="s">
        <v>223</v>
      </c>
      <c r="I36" s="45" t="s">
        <v>31</v>
      </c>
      <c r="L36" s="45" t="s">
        <v>145</v>
      </c>
      <c r="M36" s="45" t="s">
        <v>306</v>
      </c>
    </row>
    <row r="37" spans="1:13" ht="26.25" thickBot="1">
      <c r="A37" s="44" t="s">
        <v>186</v>
      </c>
      <c r="B37" s="44" t="str">
        <f t="shared" si="0"/>
        <v>127_0036</v>
      </c>
      <c r="C37" s="51" t="s">
        <v>202</v>
      </c>
      <c r="D37" s="48" t="s">
        <v>98</v>
      </c>
      <c r="E37" s="55" t="s">
        <v>224</v>
      </c>
      <c r="F37" s="48" t="s">
        <v>225</v>
      </c>
      <c r="G37" s="55" t="s">
        <v>197</v>
      </c>
      <c r="H37" s="47">
        <v>12.11</v>
      </c>
      <c r="I37" s="45" t="s">
        <v>31</v>
      </c>
      <c r="L37" s="45" t="s">
        <v>148</v>
      </c>
    </row>
    <row r="38" spans="1:13" ht="39" thickBot="1">
      <c r="A38" s="44" t="s">
        <v>187</v>
      </c>
      <c r="B38" s="44" t="str">
        <f t="shared" si="0"/>
        <v>127_0037</v>
      </c>
      <c r="C38" s="51" t="s">
        <v>201</v>
      </c>
      <c r="D38" s="55" t="s">
        <v>226</v>
      </c>
      <c r="E38" s="48" t="s">
        <v>343</v>
      </c>
      <c r="F38" s="48" t="s">
        <v>344</v>
      </c>
      <c r="G38" s="55" t="s">
        <v>197</v>
      </c>
      <c r="H38" s="44">
        <v>7.5</v>
      </c>
      <c r="I38" s="45" t="s">
        <v>31</v>
      </c>
      <c r="J38" s="49" t="s">
        <v>195</v>
      </c>
      <c r="L38" s="45" t="s">
        <v>148</v>
      </c>
      <c r="M38" s="45" t="s">
        <v>196</v>
      </c>
    </row>
    <row r="39" spans="1:13" ht="39" thickBot="1">
      <c r="A39" s="44" t="s">
        <v>188</v>
      </c>
      <c r="B39" s="44" t="str">
        <f t="shared" si="0"/>
        <v>127_0038</v>
      </c>
      <c r="C39" s="51" t="s">
        <v>200</v>
      </c>
      <c r="D39" s="48" t="s">
        <v>99</v>
      </c>
      <c r="E39" s="48" t="s">
        <v>53</v>
      </c>
      <c r="F39" s="48" t="s">
        <v>138</v>
      </c>
      <c r="G39" s="54" t="s">
        <v>198</v>
      </c>
      <c r="H39" s="47" t="s">
        <v>240</v>
      </c>
      <c r="I39" s="45" t="s">
        <v>31</v>
      </c>
      <c r="L39" s="45" t="s">
        <v>146</v>
      </c>
    </row>
    <row r="40" spans="1:13" ht="26.25" thickBot="1">
      <c r="A40" s="44" t="s">
        <v>189</v>
      </c>
      <c r="B40" s="44" t="str">
        <f t="shared" si="0"/>
        <v>127_0039</v>
      </c>
      <c r="C40" s="51" t="s">
        <v>200</v>
      </c>
      <c r="D40" s="48" t="s">
        <v>100</v>
      </c>
      <c r="E40" s="48" t="s">
        <v>54</v>
      </c>
      <c r="F40" s="48" t="s">
        <v>139</v>
      </c>
      <c r="G40" s="54" t="s">
        <v>198</v>
      </c>
      <c r="H40" s="47" t="s">
        <v>241</v>
      </c>
      <c r="I40" s="45" t="s">
        <v>31</v>
      </c>
      <c r="L40" s="45" t="s">
        <v>145</v>
      </c>
    </row>
    <row r="41" spans="1:13" ht="26.25" thickBot="1">
      <c r="A41" s="44" t="s">
        <v>190</v>
      </c>
      <c r="B41" s="44" t="str">
        <f t="shared" ref="B41:B70" si="1">_xlfn.CONCAT("127_", TEXT(ROW()-1, "0000"))</f>
        <v>127_0040</v>
      </c>
      <c r="C41" s="51" t="s">
        <v>200</v>
      </c>
      <c r="D41" s="48" t="s">
        <v>100</v>
      </c>
      <c r="E41" s="48" t="s">
        <v>55</v>
      </c>
      <c r="F41" s="48" t="s">
        <v>140</v>
      </c>
      <c r="G41" s="54" t="s">
        <v>198</v>
      </c>
      <c r="H41" s="47" t="s">
        <v>242</v>
      </c>
      <c r="I41" s="45" t="s">
        <v>31</v>
      </c>
      <c r="L41" s="45" t="s">
        <v>145</v>
      </c>
    </row>
    <row r="42" spans="1:13" ht="51.75" thickBot="1">
      <c r="A42" s="44" t="s">
        <v>191</v>
      </c>
      <c r="B42" s="44" t="str">
        <f t="shared" si="1"/>
        <v>127_0041</v>
      </c>
      <c r="C42" s="51" t="s">
        <v>200</v>
      </c>
      <c r="D42" s="48" t="s">
        <v>101</v>
      </c>
      <c r="E42" s="48" t="s">
        <v>56</v>
      </c>
      <c r="F42" s="48" t="s">
        <v>141</v>
      </c>
      <c r="G42" s="54" t="s">
        <v>198</v>
      </c>
      <c r="H42" s="47" t="s">
        <v>243</v>
      </c>
      <c r="I42" s="45" t="s">
        <v>31</v>
      </c>
      <c r="L42" s="45" t="s">
        <v>147</v>
      </c>
    </row>
    <row r="43" spans="1:13" ht="39" thickBot="1">
      <c r="A43" s="44" t="s">
        <v>192</v>
      </c>
      <c r="B43" s="44" t="str">
        <f t="shared" si="1"/>
        <v>127_0042</v>
      </c>
      <c r="C43" s="51" t="s">
        <v>200</v>
      </c>
      <c r="D43" s="48" t="s">
        <v>102</v>
      </c>
      <c r="E43" s="48" t="s">
        <v>57</v>
      </c>
      <c r="F43" s="48" t="s">
        <v>142</v>
      </c>
      <c r="G43" s="54" t="s">
        <v>197</v>
      </c>
      <c r="H43" s="47" t="s">
        <v>243</v>
      </c>
      <c r="I43" s="45" t="s">
        <v>31</v>
      </c>
      <c r="L43" s="45" t="s">
        <v>147</v>
      </c>
    </row>
    <row r="44" spans="1:13" ht="26.25" thickBot="1">
      <c r="A44" s="44" t="s">
        <v>193</v>
      </c>
      <c r="B44" s="44" t="str">
        <f t="shared" si="1"/>
        <v>127_0043</v>
      </c>
      <c r="C44" s="51" t="s">
        <v>200</v>
      </c>
      <c r="D44" s="48" t="s">
        <v>103</v>
      </c>
      <c r="E44" s="48" t="s">
        <v>58</v>
      </c>
      <c r="F44" s="48" t="s">
        <v>143</v>
      </c>
      <c r="G44" s="54" t="s">
        <v>198</v>
      </c>
      <c r="H44" s="47" t="s">
        <v>227</v>
      </c>
      <c r="I44" s="45" t="s">
        <v>31</v>
      </c>
      <c r="L44" s="45" t="s">
        <v>146</v>
      </c>
    </row>
    <row r="45" spans="1:13" ht="39" thickBot="1">
      <c r="A45" s="44" t="s">
        <v>194</v>
      </c>
      <c r="B45" s="44" t="str">
        <f t="shared" si="1"/>
        <v>127_0044</v>
      </c>
      <c r="C45" s="51" t="s">
        <v>202</v>
      </c>
      <c r="D45" s="48" t="s">
        <v>104</v>
      </c>
      <c r="E45" s="48" t="s">
        <v>59</v>
      </c>
      <c r="F45" s="48" t="s">
        <v>144</v>
      </c>
      <c r="G45" s="54" t="s">
        <v>198</v>
      </c>
      <c r="H45" s="47" t="s">
        <v>238</v>
      </c>
      <c r="I45" s="45" t="s">
        <v>31</v>
      </c>
      <c r="L45" s="45" t="s">
        <v>146</v>
      </c>
    </row>
    <row r="46" spans="1:13" ht="39" thickBot="1">
      <c r="A46" s="44" t="str">
        <f>_xlfn.CONCAT("127_Ed2_", TEXT(ROW()-45, "000"))</f>
        <v>127_Ed2_001</v>
      </c>
      <c r="B46" s="44" t="str">
        <f t="shared" si="1"/>
        <v>127_0045</v>
      </c>
      <c r="C46" s="44" t="s">
        <v>201</v>
      </c>
      <c r="D46" s="55" t="s">
        <v>218</v>
      </c>
      <c r="E46" s="55" t="s">
        <v>219</v>
      </c>
      <c r="F46" s="48" t="s">
        <v>220</v>
      </c>
      <c r="G46" s="55" t="s">
        <v>197</v>
      </c>
      <c r="H46" s="44">
        <v>13.1</v>
      </c>
      <c r="I46" s="49" t="s">
        <v>195</v>
      </c>
      <c r="L46" s="45" t="s">
        <v>209</v>
      </c>
      <c r="M46" s="45" t="s">
        <v>275</v>
      </c>
    </row>
    <row r="47" spans="1:13" ht="26.25" thickBot="1">
      <c r="A47" s="44" t="str">
        <f t="shared" ref="A47:A70" si="2">_xlfn.CONCAT("127_Ed2_", TEXT(ROW()-45, "000"))</f>
        <v>127_Ed2_002</v>
      </c>
      <c r="B47" s="44" t="str">
        <f t="shared" si="1"/>
        <v>127_0046</v>
      </c>
      <c r="C47" s="51" t="s">
        <v>200</v>
      </c>
      <c r="D47" s="45" t="s">
        <v>244</v>
      </c>
      <c r="E47" s="45" t="s">
        <v>245</v>
      </c>
      <c r="F47" s="45" t="s">
        <v>246</v>
      </c>
      <c r="G47" s="46" t="s">
        <v>198</v>
      </c>
      <c r="H47" s="47" t="s">
        <v>247</v>
      </c>
      <c r="I47" s="49" t="s">
        <v>195</v>
      </c>
      <c r="L47" s="45" t="s">
        <v>248</v>
      </c>
    </row>
    <row r="48" spans="1:13" ht="26.25" thickBot="1">
      <c r="A48" s="44" t="str">
        <f t="shared" si="2"/>
        <v>127_Ed2_003</v>
      </c>
      <c r="B48" s="44" t="str">
        <f t="shared" si="1"/>
        <v>127_0047</v>
      </c>
      <c r="C48" s="47" t="s">
        <v>202</v>
      </c>
      <c r="D48" s="55" t="s">
        <v>249</v>
      </c>
      <c r="E48" s="55" t="s">
        <v>250</v>
      </c>
      <c r="F48" s="48" t="s">
        <v>251</v>
      </c>
      <c r="G48" s="55" t="s">
        <v>197</v>
      </c>
      <c r="H48" s="44">
        <v>7.3</v>
      </c>
      <c r="I48" s="49" t="s">
        <v>195</v>
      </c>
      <c r="L48" s="45" t="s">
        <v>273</v>
      </c>
    </row>
    <row r="49" spans="1:12" ht="51.75" thickBot="1">
      <c r="A49" s="44" t="str">
        <f t="shared" si="2"/>
        <v>127_Ed2_004</v>
      </c>
      <c r="B49" s="44" t="str">
        <f t="shared" si="1"/>
        <v>127_0048</v>
      </c>
      <c r="C49" s="34" t="s">
        <v>200</v>
      </c>
      <c r="D49" s="60" t="s">
        <v>276</v>
      </c>
      <c r="E49" s="60" t="s">
        <v>277</v>
      </c>
      <c r="F49" s="56" t="s">
        <v>278</v>
      </c>
      <c r="G49" s="60" t="s">
        <v>198</v>
      </c>
      <c r="H49" s="43" t="s">
        <v>279</v>
      </c>
      <c r="I49" s="45" t="s">
        <v>195</v>
      </c>
      <c r="L49" s="55" t="s">
        <v>273</v>
      </c>
    </row>
    <row r="50" spans="1:12" ht="26.25" thickBot="1">
      <c r="A50" s="44" t="str">
        <f t="shared" si="2"/>
        <v>127_Ed2_005</v>
      </c>
      <c r="B50" s="44" t="str">
        <f t="shared" si="1"/>
        <v>127_0049</v>
      </c>
      <c r="C50" s="34" t="s">
        <v>200</v>
      </c>
      <c r="D50" s="60" t="s">
        <v>280</v>
      </c>
      <c r="E50" s="60" t="s">
        <v>281</v>
      </c>
      <c r="F50" s="56" t="s">
        <v>282</v>
      </c>
      <c r="G50" s="60" t="s">
        <v>198</v>
      </c>
      <c r="H50" s="43" t="s">
        <v>279</v>
      </c>
      <c r="I50" s="45" t="s">
        <v>195</v>
      </c>
      <c r="L50" s="55" t="s">
        <v>273</v>
      </c>
    </row>
    <row r="51" spans="1:12" ht="39" thickBot="1">
      <c r="A51" s="44" t="str">
        <f t="shared" si="2"/>
        <v>127_Ed2_006</v>
      </c>
      <c r="B51" s="44" t="str">
        <f t="shared" si="1"/>
        <v>127_0050</v>
      </c>
      <c r="C51" s="34" t="s">
        <v>200</v>
      </c>
      <c r="D51" s="60" t="s">
        <v>283</v>
      </c>
      <c r="E51" s="60" t="s">
        <v>284</v>
      </c>
      <c r="F51" s="56" t="s">
        <v>285</v>
      </c>
      <c r="G51" s="60" t="s">
        <v>198</v>
      </c>
      <c r="H51" s="43" t="s">
        <v>279</v>
      </c>
      <c r="I51" s="45" t="s">
        <v>195</v>
      </c>
      <c r="L51" s="55" t="s">
        <v>273</v>
      </c>
    </row>
    <row r="52" spans="1:12" ht="51.75" thickBot="1">
      <c r="A52" s="44" t="str">
        <f t="shared" si="2"/>
        <v>127_Ed2_007</v>
      </c>
      <c r="B52" s="44" t="str">
        <f t="shared" si="1"/>
        <v>127_0051</v>
      </c>
      <c r="C52" s="34" t="s">
        <v>202</v>
      </c>
      <c r="D52" s="60" t="s">
        <v>286</v>
      </c>
      <c r="E52" s="60" t="s">
        <v>345</v>
      </c>
      <c r="F52" s="56" t="s">
        <v>287</v>
      </c>
      <c r="G52" s="60"/>
      <c r="H52" s="43"/>
      <c r="I52" s="45" t="s">
        <v>195</v>
      </c>
      <c r="L52" s="55" t="s">
        <v>147</v>
      </c>
    </row>
    <row r="53" spans="1:12" ht="39" thickBot="1">
      <c r="A53" s="44" t="str">
        <f t="shared" si="2"/>
        <v>127_Ed2_008</v>
      </c>
      <c r="B53" s="44" t="str">
        <f t="shared" si="1"/>
        <v>127_0052</v>
      </c>
      <c r="C53" s="34" t="s">
        <v>202</v>
      </c>
      <c r="D53" s="60" t="s">
        <v>288</v>
      </c>
      <c r="E53" s="60" t="s">
        <v>289</v>
      </c>
      <c r="F53" s="56" t="s">
        <v>290</v>
      </c>
      <c r="G53" s="60" t="s">
        <v>198</v>
      </c>
      <c r="H53" s="43" t="s">
        <v>261</v>
      </c>
      <c r="I53" s="45" t="s">
        <v>195</v>
      </c>
      <c r="L53" s="55" t="s">
        <v>147</v>
      </c>
    </row>
    <row r="54" spans="1:12" ht="26.25" thickBot="1">
      <c r="A54" s="44" t="str">
        <f t="shared" si="2"/>
        <v>127_Ed2_009</v>
      </c>
      <c r="B54" s="44" t="str">
        <f t="shared" si="1"/>
        <v>127_0053</v>
      </c>
      <c r="C54" s="34" t="s">
        <v>202</v>
      </c>
      <c r="D54" s="40" t="s">
        <v>291</v>
      </c>
      <c r="E54" s="60" t="s">
        <v>292</v>
      </c>
      <c r="F54" s="56" t="s">
        <v>293</v>
      </c>
      <c r="G54" s="60" t="s">
        <v>198</v>
      </c>
      <c r="H54" s="43" t="s">
        <v>307</v>
      </c>
      <c r="I54" s="45" t="s">
        <v>31</v>
      </c>
      <c r="L54" s="55" t="s">
        <v>147</v>
      </c>
    </row>
    <row r="55" spans="1:12" ht="26.25" thickBot="1">
      <c r="A55" s="44" t="str">
        <f t="shared" si="2"/>
        <v>127_Ed2_010</v>
      </c>
      <c r="B55" s="44" t="str">
        <f t="shared" si="1"/>
        <v>127_0054</v>
      </c>
      <c r="C55" s="34" t="s">
        <v>202</v>
      </c>
      <c r="D55" s="60" t="s">
        <v>294</v>
      </c>
      <c r="E55" s="60" t="s">
        <v>295</v>
      </c>
      <c r="F55" s="57" t="s">
        <v>296</v>
      </c>
      <c r="G55" s="60" t="s">
        <v>198</v>
      </c>
      <c r="H55" s="43" t="s">
        <v>297</v>
      </c>
      <c r="I55" s="49" t="s">
        <v>31</v>
      </c>
      <c r="L55" s="67" t="s">
        <v>147</v>
      </c>
    </row>
    <row r="56" spans="1:12" ht="39" thickBot="1">
      <c r="A56" s="44" t="str">
        <f t="shared" si="2"/>
        <v>127_Ed2_011</v>
      </c>
      <c r="B56" s="44" t="str">
        <f t="shared" si="1"/>
        <v>127_0055</v>
      </c>
      <c r="C56" s="34" t="s">
        <v>202</v>
      </c>
      <c r="D56" s="60" t="s">
        <v>298</v>
      </c>
      <c r="E56" s="60" t="s">
        <v>299</v>
      </c>
      <c r="F56" s="57" t="s">
        <v>296</v>
      </c>
      <c r="G56" s="60" t="s">
        <v>198</v>
      </c>
      <c r="H56" s="43" t="s">
        <v>297</v>
      </c>
      <c r="I56" s="49" t="s">
        <v>31</v>
      </c>
      <c r="L56" s="67" t="s">
        <v>147</v>
      </c>
    </row>
    <row r="57" spans="1:12" ht="39" thickBot="1">
      <c r="A57" s="44" t="str">
        <f t="shared" si="2"/>
        <v>127_Ed2_012</v>
      </c>
      <c r="B57" s="44" t="str">
        <f t="shared" si="1"/>
        <v>127_0056</v>
      </c>
      <c r="C57" s="34" t="s">
        <v>202</v>
      </c>
      <c r="D57" s="60" t="s">
        <v>300</v>
      </c>
      <c r="E57" s="60" t="s">
        <v>346</v>
      </c>
      <c r="F57" s="57" t="s">
        <v>301</v>
      </c>
      <c r="G57" s="60" t="s">
        <v>198</v>
      </c>
      <c r="H57" s="43" t="s">
        <v>302</v>
      </c>
      <c r="I57" s="49" t="s">
        <v>31</v>
      </c>
      <c r="J57" s="49" t="s">
        <v>195</v>
      </c>
      <c r="L57" s="67" t="s">
        <v>147</v>
      </c>
    </row>
    <row r="58" spans="1:12" ht="39" thickBot="1">
      <c r="A58" s="44" t="str">
        <f t="shared" si="2"/>
        <v>127_Ed2_013</v>
      </c>
      <c r="B58" s="44" t="str">
        <f t="shared" si="1"/>
        <v>127_0057</v>
      </c>
      <c r="C58" s="47" t="s">
        <v>202</v>
      </c>
      <c r="D58" s="45" t="s">
        <v>252</v>
      </c>
      <c r="E58" s="45" t="s">
        <v>253</v>
      </c>
      <c r="F58" s="45" t="s">
        <v>254</v>
      </c>
      <c r="G58" s="46" t="s">
        <v>197</v>
      </c>
      <c r="H58" s="47" t="s">
        <v>255</v>
      </c>
      <c r="I58" s="49" t="s">
        <v>195</v>
      </c>
      <c r="L58" s="45" t="s">
        <v>147</v>
      </c>
    </row>
    <row r="59" spans="1:12" ht="26.25" thickBot="1">
      <c r="A59" s="44" t="str">
        <f t="shared" si="2"/>
        <v>127_Ed2_014</v>
      </c>
      <c r="B59" s="44" t="str">
        <f t="shared" si="1"/>
        <v>127_0058</v>
      </c>
      <c r="C59" s="47" t="s">
        <v>200</v>
      </c>
      <c r="D59" s="45" t="s">
        <v>256</v>
      </c>
      <c r="E59" s="45" t="s">
        <v>257</v>
      </c>
      <c r="F59" s="45" t="s">
        <v>258</v>
      </c>
      <c r="G59" s="46" t="s">
        <v>197</v>
      </c>
      <c r="H59" s="47">
        <v>7.3</v>
      </c>
      <c r="I59" s="49" t="s">
        <v>195</v>
      </c>
      <c r="L59" s="45" t="s">
        <v>148</v>
      </c>
    </row>
    <row r="60" spans="1:12" ht="26.25" thickBot="1">
      <c r="A60" s="44" t="str">
        <f t="shared" si="2"/>
        <v>127_Ed2_015</v>
      </c>
      <c r="B60" s="44" t="str">
        <f t="shared" si="1"/>
        <v>127_0059</v>
      </c>
      <c r="C60" s="47" t="s">
        <v>200</v>
      </c>
      <c r="D60" s="45" t="s">
        <v>308</v>
      </c>
      <c r="E60" s="45" t="s">
        <v>259</v>
      </c>
      <c r="F60" s="45" t="s">
        <v>260</v>
      </c>
      <c r="G60" s="46" t="s">
        <v>198</v>
      </c>
      <c r="H60" s="47" t="s">
        <v>261</v>
      </c>
      <c r="I60" s="49" t="s">
        <v>195</v>
      </c>
      <c r="L60" s="45" t="s">
        <v>248</v>
      </c>
    </row>
    <row r="61" spans="1:12" ht="26.25" thickBot="1">
      <c r="A61" s="44" t="str">
        <f t="shared" si="2"/>
        <v>127_Ed2_016</v>
      </c>
      <c r="B61" s="44" t="str">
        <f t="shared" si="1"/>
        <v>127_0060</v>
      </c>
      <c r="C61" s="47" t="s">
        <v>202</v>
      </c>
      <c r="D61" s="45" t="s">
        <v>262</v>
      </c>
      <c r="E61" s="45" t="s">
        <v>263</v>
      </c>
      <c r="F61" s="45" t="s">
        <v>264</v>
      </c>
      <c r="G61" s="46" t="s">
        <v>198</v>
      </c>
      <c r="H61" s="47" t="s">
        <v>261</v>
      </c>
      <c r="I61" s="49" t="s">
        <v>195</v>
      </c>
      <c r="L61" s="45" t="s">
        <v>248</v>
      </c>
    </row>
    <row r="62" spans="1:12" ht="26.25" thickBot="1">
      <c r="A62" s="44" t="str">
        <f t="shared" si="2"/>
        <v>127_Ed2_017</v>
      </c>
      <c r="B62" s="44" t="str">
        <f t="shared" si="1"/>
        <v>127_0061</v>
      </c>
      <c r="C62" s="47" t="s">
        <v>202</v>
      </c>
      <c r="D62" s="45" t="s">
        <v>265</v>
      </c>
      <c r="E62" s="45" t="s">
        <v>266</v>
      </c>
      <c r="F62" s="45" t="s">
        <v>267</v>
      </c>
      <c r="G62" s="46" t="s">
        <v>198</v>
      </c>
      <c r="H62" s="47" t="s">
        <v>234</v>
      </c>
      <c r="I62" s="49" t="s">
        <v>195</v>
      </c>
      <c r="L62" s="45" t="s">
        <v>248</v>
      </c>
    </row>
    <row r="63" spans="1:12" ht="39" thickBot="1">
      <c r="A63" s="44" t="str">
        <f t="shared" si="2"/>
        <v>127_Ed2_018</v>
      </c>
      <c r="B63" s="44" t="str">
        <f t="shared" si="1"/>
        <v>127_0062</v>
      </c>
      <c r="C63" s="47" t="s">
        <v>202</v>
      </c>
      <c r="D63" s="45" t="s">
        <v>268</v>
      </c>
      <c r="E63" s="45" t="s">
        <v>269</v>
      </c>
      <c r="F63" s="45" t="s">
        <v>270</v>
      </c>
      <c r="G63" s="46" t="s">
        <v>209</v>
      </c>
      <c r="I63" s="49" t="s">
        <v>195</v>
      </c>
      <c r="L63" s="45" t="s">
        <v>274</v>
      </c>
    </row>
    <row r="64" spans="1:12" ht="26.25" thickBot="1">
      <c r="A64" s="44" t="str">
        <f t="shared" si="2"/>
        <v>127_Ed2_019</v>
      </c>
      <c r="B64" s="44" t="str">
        <f t="shared" si="1"/>
        <v>127_0063</v>
      </c>
      <c r="C64" s="47" t="s">
        <v>202</v>
      </c>
      <c r="D64" s="45" t="s">
        <v>309</v>
      </c>
      <c r="E64" s="45" t="s">
        <v>310</v>
      </c>
      <c r="F64" s="45" t="s">
        <v>311</v>
      </c>
      <c r="G64" s="46" t="s">
        <v>198</v>
      </c>
      <c r="H64" s="47" t="s">
        <v>255</v>
      </c>
      <c r="I64" s="49" t="s">
        <v>195</v>
      </c>
      <c r="L64" s="45" t="s">
        <v>248</v>
      </c>
    </row>
    <row r="65" spans="1:13" ht="26.25" thickBot="1">
      <c r="A65" s="44" t="str">
        <f t="shared" si="2"/>
        <v>127_Ed2_020</v>
      </c>
      <c r="B65" s="44" t="str">
        <f t="shared" si="1"/>
        <v>127_0064</v>
      </c>
      <c r="C65" s="51" t="s">
        <v>200</v>
      </c>
      <c r="D65" s="68" t="s">
        <v>312</v>
      </c>
      <c r="E65" s="60" t="s">
        <v>313</v>
      </c>
      <c r="F65" s="57" t="s">
        <v>314</v>
      </c>
      <c r="G65" s="60" t="s">
        <v>198</v>
      </c>
      <c r="H65" s="59">
        <v>2.4</v>
      </c>
      <c r="I65" s="49" t="s">
        <v>195</v>
      </c>
      <c r="L65" s="67" t="s">
        <v>248</v>
      </c>
    </row>
    <row r="66" spans="1:13" ht="30.75" thickBot="1">
      <c r="A66" s="44" t="str">
        <f t="shared" si="2"/>
        <v>127_Ed2_021</v>
      </c>
      <c r="B66" s="44" t="str">
        <f t="shared" si="1"/>
        <v>127_0065</v>
      </c>
      <c r="C66" s="51" t="s">
        <v>202</v>
      </c>
      <c r="D66" s="69" t="s">
        <v>315</v>
      </c>
      <c r="E66" s="48" t="s">
        <v>316</v>
      </c>
      <c r="F66" s="45" t="s">
        <v>317</v>
      </c>
      <c r="G66" s="54" t="s">
        <v>198</v>
      </c>
      <c r="H66" s="47" t="s">
        <v>318</v>
      </c>
      <c r="I66" s="49" t="s">
        <v>195</v>
      </c>
      <c r="L66" s="45" t="s">
        <v>248</v>
      </c>
    </row>
    <row r="67" spans="1:13" ht="51.75" thickBot="1">
      <c r="A67" s="44" t="str">
        <f t="shared" si="2"/>
        <v>127_Ed2_022</v>
      </c>
      <c r="B67" s="44" t="str">
        <f t="shared" si="1"/>
        <v>127_0066</v>
      </c>
      <c r="C67" s="51" t="s">
        <v>202</v>
      </c>
      <c r="D67" s="45" t="s">
        <v>319</v>
      </c>
      <c r="E67" s="48" t="s">
        <v>321</v>
      </c>
      <c r="F67" s="45" t="s">
        <v>320</v>
      </c>
      <c r="G67" s="54" t="s">
        <v>198</v>
      </c>
      <c r="H67" s="47" t="s">
        <v>318</v>
      </c>
      <c r="I67" s="49" t="s">
        <v>195</v>
      </c>
      <c r="L67" s="45" t="s">
        <v>248</v>
      </c>
    </row>
    <row r="68" spans="1:13" ht="39" thickBot="1">
      <c r="A68" s="44" t="str">
        <f t="shared" si="2"/>
        <v>127_Ed2_023</v>
      </c>
      <c r="B68" s="44" t="str">
        <f t="shared" si="1"/>
        <v>127_0067</v>
      </c>
      <c r="C68" s="51" t="s">
        <v>202</v>
      </c>
      <c r="D68" s="45" t="s">
        <v>325</v>
      </c>
      <c r="E68" s="48" t="s">
        <v>322</v>
      </c>
      <c r="F68" s="45" t="s">
        <v>323</v>
      </c>
      <c r="G68" s="54" t="s">
        <v>198</v>
      </c>
      <c r="H68" s="47" t="s">
        <v>324</v>
      </c>
      <c r="I68" s="49" t="s">
        <v>195</v>
      </c>
    </row>
    <row r="69" spans="1:13" ht="26.25" thickBot="1">
      <c r="A69" s="44" t="str">
        <f t="shared" si="2"/>
        <v>127_Ed2_024</v>
      </c>
      <c r="B69" s="44" t="str">
        <f t="shared" si="1"/>
        <v>127_0068</v>
      </c>
      <c r="C69" s="47" t="s">
        <v>200</v>
      </c>
      <c r="D69" s="45" t="s">
        <v>326</v>
      </c>
      <c r="E69" s="45" t="s">
        <v>327</v>
      </c>
      <c r="F69" s="45" t="s">
        <v>328</v>
      </c>
      <c r="G69" s="46" t="s">
        <v>209</v>
      </c>
      <c r="I69" s="49" t="s">
        <v>195</v>
      </c>
      <c r="L69" s="45" t="s">
        <v>329</v>
      </c>
    </row>
    <row r="70" spans="1:13" ht="26.25" thickBot="1">
      <c r="A70" s="44" t="str">
        <f t="shared" si="2"/>
        <v>127_Ed2_025</v>
      </c>
      <c r="B70" s="44" t="str">
        <f t="shared" si="1"/>
        <v>127_0069</v>
      </c>
      <c r="C70" s="47" t="s">
        <v>202</v>
      </c>
      <c r="D70" s="45" t="s">
        <v>330</v>
      </c>
      <c r="E70" s="45" t="s">
        <v>331</v>
      </c>
      <c r="F70" s="45" t="s">
        <v>332</v>
      </c>
      <c r="G70" s="46" t="s">
        <v>209</v>
      </c>
      <c r="I70" s="49" t="s">
        <v>195</v>
      </c>
      <c r="L70" s="45" t="s">
        <v>248</v>
      </c>
      <c r="M70" s="45" t="s">
        <v>347</v>
      </c>
    </row>
    <row r="71" spans="1:13" thickBot="1">
      <c r="C71" s="51"/>
      <c r="E71" s="48"/>
    </row>
    <row r="72" spans="1:13" thickBot="1">
      <c r="C72" s="51"/>
      <c r="E72" s="48"/>
    </row>
    <row r="73" spans="1:13" thickBot="1">
      <c r="C73" s="51"/>
      <c r="E73" s="48"/>
    </row>
    <row r="74" spans="1:13" thickBot="1">
      <c r="C74" s="51"/>
      <c r="E74" s="48"/>
    </row>
    <row r="75" spans="1:13" thickBot="1">
      <c r="C75" s="51"/>
      <c r="E75" s="48"/>
    </row>
    <row r="76" spans="1:13" thickBot="1">
      <c r="C76" s="51"/>
      <c r="E76" s="48"/>
    </row>
    <row r="77" spans="1:13" thickBot="1">
      <c r="C77" s="51"/>
      <c r="E77" s="48"/>
    </row>
    <row r="78" spans="1:13" thickBot="1">
      <c r="C78" s="51"/>
      <c r="E78" s="48"/>
    </row>
    <row r="79" spans="1:13" thickBot="1">
      <c r="C79" s="51"/>
      <c r="E79" s="48"/>
    </row>
    <row r="80" spans="1:13" thickBot="1">
      <c r="C80" s="51"/>
      <c r="E80" s="48"/>
    </row>
    <row r="81" spans="3:5" thickBot="1">
      <c r="C81" s="51"/>
      <c r="E81" s="48"/>
    </row>
    <row r="82" spans="3:5" thickBot="1">
      <c r="C82" s="51"/>
      <c r="E82" s="48"/>
    </row>
    <row r="83" spans="3:5" thickBot="1">
      <c r="C83" s="51"/>
      <c r="E83" s="48"/>
    </row>
    <row r="84" spans="3:5" thickBot="1">
      <c r="C84" s="51"/>
      <c r="E84" s="48"/>
    </row>
    <row r="85" spans="3:5" thickBot="1">
      <c r="C85" s="51"/>
      <c r="E85" s="48"/>
    </row>
    <row r="86" spans="3:5" thickBot="1">
      <c r="C86" s="51"/>
      <c r="E86" s="48"/>
    </row>
    <row r="87" spans="3:5" thickBot="1">
      <c r="C87" s="51"/>
      <c r="E87" s="48"/>
    </row>
    <row r="88" spans="3:5" thickBot="1">
      <c r="C88" s="51"/>
      <c r="E88" s="48"/>
    </row>
    <row r="89" spans="3:5" thickBot="1">
      <c r="C89" s="51"/>
      <c r="E89" s="48"/>
    </row>
    <row r="90" spans="3:5" thickBot="1">
      <c r="C90" s="51"/>
      <c r="E90" s="48"/>
    </row>
    <row r="91" spans="3:5" thickBot="1">
      <c r="C91" s="51"/>
      <c r="E91" s="48"/>
    </row>
    <row r="92" spans="3:5" thickBot="1">
      <c r="C92" s="51"/>
      <c r="E92" s="48"/>
    </row>
    <row r="93" spans="3:5" thickBot="1">
      <c r="C93" s="51"/>
      <c r="E93" s="48"/>
    </row>
    <row r="94" spans="3:5" thickBot="1">
      <c r="C94" s="51"/>
      <c r="E94" s="48"/>
    </row>
    <row r="95" spans="3:5" thickBot="1">
      <c r="C95" s="51"/>
      <c r="E95" s="48"/>
    </row>
    <row r="96" spans="3:5" thickBot="1">
      <c r="C96" s="51"/>
      <c r="E96" s="48"/>
    </row>
    <row r="97" spans="3:5" thickBot="1">
      <c r="C97" s="51"/>
      <c r="E97" s="48"/>
    </row>
    <row r="98" spans="3:5" thickBot="1">
      <c r="C98" s="51"/>
      <c r="E98" s="48"/>
    </row>
    <row r="99" spans="3:5" thickBot="1">
      <c r="C99" s="51"/>
      <c r="E99" s="48"/>
    </row>
    <row r="100" spans="3:5" thickBot="1">
      <c r="C100" s="51"/>
      <c r="E100" s="48"/>
    </row>
    <row r="101" spans="3:5" thickBot="1">
      <c r="C101" s="51"/>
      <c r="E101" s="48"/>
    </row>
    <row r="102" spans="3:5" thickBot="1">
      <c r="C102" s="51"/>
      <c r="E102" s="48"/>
    </row>
    <row r="103" spans="3:5" thickBot="1">
      <c r="C103" s="51"/>
      <c r="E103" s="48"/>
    </row>
    <row r="104" spans="3:5" thickBot="1">
      <c r="C104" s="51"/>
      <c r="E104" s="48"/>
    </row>
    <row r="105" spans="3:5" thickBot="1">
      <c r="C105" s="51"/>
      <c r="E105" s="48"/>
    </row>
    <row r="106" spans="3:5" thickBot="1">
      <c r="C106" s="51"/>
      <c r="E106" s="48"/>
    </row>
    <row r="107" spans="3:5" thickBot="1">
      <c r="C107" s="51"/>
      <c r="E107" s="48"/>
    </row>
    <row r="108" spans="3:5" thickBot="1">
      <c r="C108" s="51"/>
      <c r="E108" s="48"/>
    </row>
    <row r="109" spans="3:5" thickBot="1">
      <c r="C109" s="51"/>
      <c r="E109" s="48"/>
    </row>
    <row r="110" spans="3:5" thickBot="1">
      <c r="C110" s="51"/>
      <c r="E110" s="48"/>
    </row>
    <row r="111" spans="3:5" ht="12.75"/>
    <row r="112" spans="3:5"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sheetData>
  <autoFilter ref="K1:K113" xr:uid="{00000000-0001-0000-0100-000000000000}"/>
  <dataValidations count="1">
    <dataValidation type="list" allowBlank="1" showInputMessage="1" showErrorMessage="1" sqref="C2:C110" xr:uid="{1FB138CC-14EF-4406-9E7B-EC5039F9ECE1}">
      <formula1>"C,E,W"</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S127ValidationChecks metadata</vt:lpstr>
      <vt:lpstr>S127Checks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2026-03-25T08:36:58Z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