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mc:AlternateContent xmlns:mc="http://schemas.openxmlformats.org/markup-compatibility/2006">
    <mc:Choice Requires="x15">
      <x15ac:absPath xmlns:x15ac="http://schemas.microsoft.com/office/spreadsheetml/2010/11/ac" url="E:\work\git\S-127-Product-Specification-Development\S158_127\1.0.0\"/>
    </mc:Choice>
  </mc:AlternateContent>
  <xr:revisionPtr revIDLastSave="0" documentId="13_ncr:1_{AF5087B0-A6EF-4955-BEE8-26E0AD129973}" xr6:coauthVersionLast="47" xr6:coauthVersionMax="47" xr10:uidLastSave="{00000000-0000-0000-0000-000000000000}"/>
  <bookViews>
    <workbookView xWindow="-120" yWindow="-120" windowWidth="28110" windowHeight="18240" tabRatio="647" activeTab="1" xr2:uid="{00000000-000D-0000-FFFF-FFFF00000000}"/>
  </bookViews>
  <sheets>
    <sheet name="S127ValidationChecks metadata" sheetId="11" r:id="rId1"/>
    <sheet name="S127Checks" sheetId="10" r:id="rId2"/>
    <sheet name="DeletedS127Checks" sheetId="12" r:id="rId3"/>
  </sheets>
  <externalReferences>
    <externalReference r:id="rId4"/>
  </externalReferences>
  <definedNames>
    <definedName name="_xlnm._FilterDatabase" localSheetId="2" hidden="1">DeletedS127Checks!$A$1:$K$31</definedName>
    <definedName name="_xlnm._FilterDatabase" localSheetId="1" hidden="1">S127Checks!$K$1:$K$141</definedName>
    <definedName name="S101_Disposition">[1]Lists!$A$1:$A$3</definedName>
  </definedNames>
  <calcPr calcId="191029" iterate="1" iterateCount="1000"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8" i="10" l="1"/>
  <c r="A98" i="10"/>
  <c r="B97" i="10"/>
  <c r="A97" i="10"/>
  <c r="B96" i="10"/>
  <c r="A96" i="10"/>
  <c r="B95" i="10"/>
  <c r="A95" i="10"/>
  <c r="B94" i="10"/>
  <c r="A94" i="10"/>
  <c r="B93" i="10"/>
  <c r="A93" i="10"/>
  <c r="B92" i="10"/>
  <c r="A92" i="10"/>
  <c r="B85" i="10"/>
  <c r="A85" i="10"/>
  <c r="B84" i="10"/>
  <c r="A84" i="10"/>
  <c r="B83" i="10"/>
  <c r="A83" i="10"/>
  <c r="B82" i="10"/>
  <c r="A82" i="10"/>
  <c r="B81" i="10"/>
  <c r="A81" i="10"/>
  <c r="B80" i="10"/>
  <c r="A80" i="10"/>
  <c r="B79" i="10"/>
  <c r="A79" i="10"/>
  <c r="B78" i="10"/>
  <c r="A78" i="10"/>
  <c r="B77" i="10"/>
  <c r="A77" i="10"/>
  <c r="A91" i="10"/>
  <c r="A90" i="10"/>
  <c r="A89" i="10"/>
  <c r="A88" i="10"/>
  <c r="A87" i="10"/>
  <c r="A86" i="10"/>
  <c r="A76" i="10"/>
  <c r="A75" i="10"/>
  <c r="A74" i="10"/>
  <c r="B91" i="10"/>
  <c r="B90" i="10"/>
  <c r="B89" i="10"/>
  <c r="B88" i="10"/>
  <c r="B87" i="10"/>
  <c r="B86" i="10"/>
  <c r="B76" i="10"/>
  <c r="B75" i="10"/>
  <c r="B74" i="10"/>
  <c r="B3" i="10"/>
  <c r="B6" i="10"/>
  <c r="B9" i="10"/>
  <c r="B10" i="10"/>
  <c r="B2" i="10"/>
  <c r="B4" i="10"/>
  <c r="B5" i="10"/>
  <c r="B7" i="10"/>
  <c r="B8" i="10"/>
  <c r="B11" i="10"/>
  <c r="B12" i="10"/>
  <c r="B13" i="10"/>
  <c r="B14" i="10"/>
  <c r="B15" i="10"/>
  <c r="B16" i="10"/>
  <c r="B17" i="10"/>
  <c r="B18" i="10"/>
  <c r="B19" i="10"/>
  <c r="B20" i="10"/>
  <c r="B21" i="10"/>
  <c r="B22" i="10"/>
  <c r="B23" i="10"/>
  <c r="B24" i="10"/>
  <c r="B25" i="10"/>
  <c r="B26" i="10"/>
  <c r="B27" i="10"/>
  <c r="B28" i="10"/>
  <c r="B29" i="10"/>
  <c r="B30" i="10"/>
  <c r="B31" i="10"/>
  <c r="B32" i="10"/>
  <c r="B33" i="10"/>
  <c r="B34" i="10"/>
  <c r="B35" i="10"/>
  <c r="B36" i="10"/>
  <c r="B37" i="10"/>
  <c r="B38" i="10"/>
  <c r="B39" i="10"/>
  <c r="B40" i="10"/>
  <c r="B41" i="10"/>
  <c r="B42" i="10"/>
  <c r="B43" i="10"/>
  <c r="B44" i="10"/>
  <c r="B45" i="10"/>
  <c r="B46" i="10"/>
  <c r="B47" i="10"/>
  <c r="B48" i="10"/>
  <c r="B49" i="10"/>
  <c r="B50" i="10"/>
  <c r="B51" i="10"/>
  <c r="B52" i="10"/>
  <c r="B53" i="10"/>
  <c r="B54" i="10"/>
  <c r="B55" i="10"/>
  <c r="B56" i="10"/>
  <c r="B57" i="10"/>
  <c r="B58" i="10"/>
  <c r="B59" i="10"/>
  <c r="B60" i="10"/>
  <c r="B61" i="10"/>
  <c r="B62" i="10"/>
  <c r="B63" i="10"/>
  <c r="B64" i="10"/>
  <c r="B65" i="10"/>
  <c r="B66" i="10"/>
  <c r="B67" i="10"/>
  <c r="B68" i="10"/>
  <c r="B69" i="10"/>
  <c r="B70" i="10"/>
  <c r="B71" i="10"/>
  <c r="B72" i="10"/>
  <c r="B73" i="10"/>
  <c r="A2" i="12" a="1"/>
  <c r="A2" i="1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<sst xmlns="http://schemas.openxmlformats.org/spreadsheetml/2006/main" count="932" uniqueCount="476">
  <si>
    <t>Document Number</t>
  </si>
  <si>
    <t>Title</t>
  </si>
  <si>
    <t>Document Type</t>
  </si>
  <si>
    <t>Standard</t>
  </si>
  <si>
    <t>Document Stage</t>
  </si>
  <si>
    <t xml:space="preserve"> Edition(x.x)</t>
  </si>
  <si>
    <t>Issued-date</t>
  </si>
  <si>
    <t>Copyright Year</t>
  </si>
  <si>
    <t>Committee</t>
  </si>
  <si>
    <t>HSSC</t>
  </si>
  <si>
    <t>WG/PT</t>
  </si>
  <si>
    <t>Based</t>
  </si>
  <si>
    <t>Applied without revision</t>
  </si>
  <si>
    <t>Compliant Standard</t>
  </si>
  <si>
    <t>Dev ID</t>
  </si>
  <si>
    <t>Check ID</t>
  </si>
  <si>
    <t>Classification</t>
  </si>
  <si>
    <t xml:space="preserve">Check Message </t>
  </si>
  <si>
    <t>Check Description</t>
  </si>
  <si>
    <t xml:space="preserve">Check Solution </t>
  </si>
  <si>
    <t>Standards document reference</t>
  </si>
  <si>
    <t>Clause reference</t>
  </si>
  <si>
    <t>Introduced</t>
  </si>
  <si>
    <t>Modified</t>
  </si>
  <si>
    <t>Deleted</t>
  </si>
  <si>
    <t>Draft</t>
  </si>
  <si>
    <t>Ed.2.0.0</t>
  </si>
  <si>
    <t>S-100</t>
  </si>
  <si>
    <t>Ed. 5.2.0</t>
  </si>
  <si>
    <t>S-158:127</t>
  </si>
  <si>
    <t>MARINE TRAFFIC MANAGEMENT VALIDATION CHECKS</t>
  </si>
  <si>
    <t>1.0.0</t>
  </si>
  <si>
    <t>NIPWG/S-127 TASK GROUP</t>
  </si>
  <si>
    <t>S-127 PS</t>
  </si>
  <si>
    <t>S-127 DCEG</t>
  </si>
  <si>
    <t>S-127 FC</t>
  </si>
  <si>
    <t>Metadata of S-127 Validation Check Specification</t>
  </si>
  <si>
    <t>For each feature object where its geometry is not COVERED_BY a DataCoverage</t>
  </si>
  <si>
    <t>If either QualityOfNonbathymetricData or DataCoverage meta feature objects do not exist within the data set.</t>
  </si>
  <si>
    <t>If any mandatory attributes are not present.</t>
  </si>
  <si>
    <t>For each feature object with an attribute of type Float or Integer where the value contains zeroes before the first numerical digit or after the last numerical digit.</t>
  </si>
  <si>
    <t>For each feature object with an attribute value identical to a corresponding attribute of a meta feature object it is COVERED_BY.</t>
  </si>
  <si>
    <t>For each association between features instances, features instances and information instances, and between information instances that is not defined in the feature catalogue.</t>
  </si>
  <si>
    <t>For each role name on associations that is not defined in the feature catalogue.</t>
  </si>
  <si>
    <t>For each association that is not defined in the feature catalogue.</t>
  </si>
  <si>
    <t>For each role name that is not defined in the feature catalogue.</t>
  </si>
  <si>
    <t>For each association ensure associated classes are only those permitted by the feature catalogue.</t>
  </si>
  <si>
    <t>For each role name ensure it is only used with permitted associations.</t>
  </si>
  <si>
    <t>For each feature instance where textContent attribute is present, and two or more information subAttributes are present, and the text subattributes are equal.</t>
  </si>
  <si>
    <t>For each feature instance where textContent attribute is present, and two or more information subAttributes are present, and the combination of fileReference and fileLocator  subattributes are equal.</t>
  </si>
  <si>
    <t>For each featureName subattribute with language not equal to eng, and where featureName subattributes with language equal to eng is not present.</t>
  </si>
  <si>
    <t>For each information subattribute with language not equal to eng, and where information subattribute with language equal to eng is not present.</t>
  </si>
  <si>
    <t xml:space="preserve">If the file names in an exchange set are not in accordance with the Product Specification. </t>
  </si>
  <si>
    <t>For each feature instance which does not have a valid feature class label/code as defined by the feature catalogue.</t>
  </si>
  <si>
    <t>For each attribute which does not have a valid attribute label/code as defined by the feature catalogue.</t>
  </si>
  <si>
    <t>For each feature object which contains attributes outside the list of permissible attributes for the feature class (as defined in the feature catalogue).</t>
  </si>
  <si>
    <t>For each feature instance which is not COVERED_BY the combined coverage of QualityOfNonBathymetricData  meta feature instance.</t>
  </si>
  <si>
    <t>If the order of the data in a dataset is not correct.</t>
  </si>
  <si>
    <t>For each attribute instance where the total number of instances exceed the permitted number of instances</t>
  </si>
  <si>
    <t>For each feature instance where periodicDateRange subattributes dateEnd and dateStart are notNull AND their values are identical.</t>
  </si>
  <si>
    <t>For each feature instance where periodicDateRange subattribute is notNull AND dateStart is Null OR not Present.</t>
  </si>
  <si>
    <t xml:space="preserve">For each instance of ServiceHours where an instance of scheduleByDayOfWeek attribute has temporal overlaps specified by timeIntervalByDayOfWeek attribute. </t>
  </si>
  <si>
    <t>For each instance of ServiceHours with more than one instance of scheduleByDayOfWeek, and where an instance of scheduleByDayOfWeek has a temporal overlap with another instance of scheduleByDayOfWeek.</t>
  </si>
  <si>
    <t>For each instance of a dataset present in the exchange set and that does not have dataset discovery metadata.</t>
  </si>
  <si>
    <t>For each instance of a support file present in the exchange set and that does not have support file discovery metadata.</t>
  </si>
  <si>
    <t>For each feature instance which CROSS the 180° meridian.</t>
  </si>
  <si>
    <t>For each dataset discovery metadata file that does not correspond to the dataset discovery metadata content table.</t>
  </si>
  <si>
    <t>For each support file discovery metadata file, does not correspond to the support file discovery metadata content table.</t>
  </si>
  <si>
    <t>For each catalogue file discovery metadata file that does not correspond to the catalogue file discovery metadata content table.</t>
  </si>
  <si>
    <t>For each radiocommunications attribute where transmissionContent and categoryOfMaritimeBroadcast are encoded.</t>
  </si>
  <si>
    <t>For each ContactDetails where radiocommunications attribute is present and communicationChannel, signalFrequency, or frequencyPair is not present.</t>
  </si>
  <si>
    <t>For each update dataset, a base dataset of the same dataset name is not either present on the system, in the same exchange set, or in another exchange set in the collection of exchange sets.</t>
  </si>
  <si>
    <t>For each update dataset with updateNumber N &gt; 1, the base dataset is present and updates 1 to N-1 are not present on the system, in the exchange set, or in another exchange set on the system.</t>
  </si>
  <si>
    <t>For each cancellation (termination) of a dataset that does not exist on the system or has already been cancelled.</t>
  </si>
  <si>
    <t>For each RouteingMeasure with categoryOfRouteingMeasure ≠ 5 AND categoryOfTrafficSeparationScheme populated.</t>
  </si>
  <si>
    <t>For each UnderkeelClearanceManagementArea with dynamicResource = 2 or 3 and without an association to a ContactDetails object.</t>
  </si>
  <si>
    <t>For each WaterwayArea with dynamicResource = 2 or 3 and without an association to a ContactDetails object.</t>
  </si>
  <si>
    <t>For each underkeelAllowance complex attribute without any of underkeelAllowance Fixed/Variable/BeamBased sub-attributes populated.</t>
  </si>
  <si>
    <t>For each underkeelAllowance complex attribute without more than one of underkeelAllowance Fixed/Variable/BeamBased sub-attributes populated and operation not populated.</t>
  </si>
  <si>
    <t>For each RouteingMeasure with categoryOfRouteingMeasure ≠ 4 AND categoryOfNavigationLine populated.</t>
  </si>
  <si>
    <t>For each feature with more than one associated ContactDetails instance with call name attribute encoded AND that does not have different values in the language attribute.</t>
  </si>
  <si>
    <t>For each PilotService with more than one PilotDistrict associated via a serviceArea role.</t>
  </si>
  <si>
    <t>For each fixedDateRange where both dateEnd and dateStart are omitted or Null.</t>
  </si>
  <si>
    <t>For each fixedDateRange where dateEnd or dateStart is not Null but the year component is not specified.</t>
  </si>
  <si>
    <t>For each textContent attribute where both information and onlineResource are missing or null.</t>
  </si>
  <si>
    <t>For each information attribute where both fileReference and text subattributes are missing or null.</t>
  </si>
  <si>
    <t>For each sourceIndication where the sub-attributes are missing or null.</t>
  </si>
  <si>
    <t>For each contactAddress with all sub-attributes either omitted or null.</t>
  </si>
  <si>
    <t>For each frequencyPair with frequencyShoreStationTransmits or frequencyShoreStationReceives both sub-attributes either omitted or null.</t>
  </si>
  <si>
    <t>For each Regulations, Restrictions, Recommendations, NauticalInformation with both graphic and textContent missing or null.</t>
  </si>
  <si>
    <t>For each Applicability without at least one of its attributes populated.</t>
  </si>
  <si>
    <t>For each NonStandardWorkingDay with all of dateFixed, dateVariable, and information missing or null.</t>
  </si>
  <si>
    <t>For each ContactDetails without at least one non-Null attribute.</t>
  </si>
  <si>
    <t>For each association where the target is not in the dataset.</t>
  </si>
  <si>
    <t xml:space="preserve">Objects fall outside the coverage object. </t>
  </si>
  <si>
    <t>The cell is larger than 20Mb in size.</t>
  </si>
  <si>
    <t>Mandatory attributes are not encoded.</t>
  </si>
  <si>
    <t>An attribute value of a meta feature object is duplicated on a geo object.</t>
  </si>
  <si>
    <t>Wrong association used.</t>
  </si>
  <si>
    <t>Wrong role used.</t>
  </si>
  <si>
    <t>Unknown association is used.</t>
  </si>
  <si>
    <t>Unknown role name is used.</t>
  </si>
  <si>
    <t>Class is associated in an illegal association.</t>
  </si>
  <si>
    <t>Role name is used on an illegal association.</t>
  </si>
  <si>
    <t>Dataset does not conform to the GML schema.</t>
  </si>
  <si>
    <t>Values for file reference and locator combinations are identical.</t>
  </si>
  <si>
    <t>Name is encoded in national language only.</t>
  </si>
  <si>
    <t>Text is encoded in national language only</t>
  </si>
  <si>
    <t>File names are not in accordance with the Product Specification.</t>
  </si>
  <si>
    <t>Object outside area of coverage.</t>
  </si>
  <si>
    <t>Object has invalid feature class code.</t>
  </si>
  <si>
    <t>Attribute has invalid attribute label/code.</t>
  </si>
  <si>
    <t>Attribute not permitted on feature class.</t>
  </si>
  <si>
    <t>Feature instance not covered by an QualityOfNonBathymetricData instance.</t>
  </si>
  <si>
    <t>Incorrect data order.</t>
  </si>
  <si>
    <t>Too many instances of attribute.</t>
  </si>
  <si>
    <t>Object has identical values of periodicDateRange subattributes dateEnd and dateStart.</t>
  </si>
  <si>
    <t>Object has dateEnd without a value of dateStart.</t>
  </si>
  <si>
    <t>Vertex density exceeds the allowable tolerance.</t>
  </si>
  <si>
    <t>Time intervals within the same scheduleByDayOfWeek attribute overlap.</t>
  </si>
  <si>
    <t>Schedule overlaps.</t>
  </si>
  <si>
    <t>File referenced in the dataset is not present in the exchange set.</t>
  </si>
  <si>
    <t>Dataset discovery metadata is missing for dataset.</t>
  </si>
  <si>
    <t>Support file discovery metadata is missing for support file.</t>
  </si>
  <si>
    <t>File is missing from exchange set.</t>
  </si>
  <si>
    <t>Data crossing the 180° meridian.</t>
  </si>
  <si>
    <t>Dataset discovery metadata file that does not correspond to the dataset discovery metadata content table.</t>
  </si>
  <si>
    <t>Support file discovery metadata file that does not correspond to the support file discovery metadata content table.</t>
  </si>
  <si>
    <t>Catalogue file discovery metadata file that does not correspond to the catalogue file discovery metadata content table.</t>
  </si>
  <si>
    <t>FixedDateRange not populated making the attribute meaningless.</t>
  </si>
  <si>
    <t>Year is required in fixedDateRange dates.</t>
  </si>
  <si>
    <t>TextContent is not populated with meaningful information.</t>
  </si>
  <si>
    <t>Information is not populated with meaningful information.</t>
  </si>
  <si>
    <t>SourceIndication is not populated with meaningful information.</t>
  </si>
  <si>
    <t>Contact address is not populated with meaningful information.</t>
  </si>
  <si>
    <t>Frequency pair frequency attributes are not populated with meaningful information.</t>
  </si>
  <si>
    <t>Regulations, Restrictions, Recommendations, NauticalInformation not populated.</t>
  </si>
  <si>
    <t>Applicability is not populated with meaningful information.</t>
  </si>
  <si>
    <t>NonStandardWorkingDay not populated with meaningful information.</t>
  </si>
  <si>
    <t>ContactDetails not populated with meaningful information.</t>
  </si>
  <si>
    <t>Associated feature or information type not present.</t>
  </si>
  <si>
    <t>transmissionContent can only be encoded when categoryOfMaritimeBroadcast is not encoded.</t>
  </si>
  <si>
    <t>communicationChannel, signalFrequency, or frequencyPair should be encoded in radiocommunications.</t>
  </si>
  <si>
    <t>The update is larger than 500 KB in size.</t>
  </si>
  <si>
    <t>Base dataset not present.</t>
  </si>
  <si>
    <t>Preceding updates not present.</t>
  </si>
  <si>
    <t>Empty update.</t>
  </si>
  <si>
    <t>Terminated dataset is not present.</t>
  </si>
  <si>
    <t>Category of TSS applies only to traffic separation schemes.</t>
  </si>
  <si>
    <t>Features for dynamic resources must indicate a source for the dynamic information.</t>
  </si>
  <si>
    <t>Underkeel allowance attribute is not populated.</t>
  </si>
  <si>
    <t>Underkeel allowance with more than one factor must specify how the factors are combined.</t>
  </si>
  <si>
    <t>Category of navigation line applies only to recommended tracks.</t>
  </si>
  <si>
    <t>Call name in different languages should be noted by the appropriate language.</t>
  </si>
  <si>
    <t>PilotService can have at most one associated PilotDistrict service area associated.</t>
  </si>
  <si>
    <t>Ensure objects are not outside of the limits of the cell.</t>
  </si>
  <si>
    <t>Include mandatory meta feature objects QualityOfNonbathymetricData or DataCoverage.</t>
  </si>
  <si>
    <t>Populate mandatory attributes (If unknown encode attribute with empty value).</t>
  </si>
  <si>
    <t xml:space="preserve">Remove non-significant zeroes. </t>
  </si>
  <si>
    <t>Remove duplicate value from geo object.</t>
  </si>
  <si>
    <t>Use correct association type.</t>
  </si>
  <si>
    <t>Use correct role name.</t>
  </si>
  <si>
    <t>Use association that is defined in the feature catalogue.</t>
  </si>
  <si>
    <t>Use role name that is defined in the feature catalogue.</t>
  </si>
  <si>
    <t>Ensure correct association is used between classes.</t>
  </si>
  <si>
    <t>Ensure correct role names are used on the association.</t>
  </si>
  <si>
    <t>Ensure conformance to the GML schema.</t>
  </si>
  <si>
    <t>Change character encoding to UTF-8.</t>
  </si>
  <si>
    <t>Ensure that name subattributes are populated with the correct values.</t>
  </si>
  <si>
    <t>Ensure that text subattributes are populated with the correct values.</t>
  </si>
  <si>
    <t>Ensure that national language attributes are populated with the correct values.</t>
  </si>
  <si>
    <t>Populate text attribute with English text.</t>
  </si>
  <si>
    <t>Populate name attribute with English text.</t>
  </si>
  <si>
    <t>Amend file names.</t>
  </si>
  <si>
    <t>Remove object or amend coverage.</t>
  </si>
  <si>
    <t>Amend object class code.</t>
  </si>
  <si>
    <t>Amend attribute label/code.</t>
  </si>
  <si>
    <t>Remove attribute.</t>
  </si>
  <si>
    <t>Ensure full coverage of QualityOfNonBathymetricData instance.</t>
  </si>
  <si>
    <t>Amend data order.</t>
  </si>
  <si>
    <t>Ensure correct attribute encoding.</t>
  </si>
  <si>
    <t>Ensure values of periodicDateRange subattributes dateEnd and dateStart are logical.</t>
  </si>
  <si>
    <t>Populate dateStart or remove dateEnd.</t>
  </si>
  <si>
    <t>Generalise edge(s).</t>
  </si>
  <si>
    <t>Review time intervals and remove time overlap.</t>
  </si>
  <si>
    <t>Review service hour intervals and remove time overlap.</t>
  </si>
  <si>
    <t>Add file to exchange set or remove reference to file.</t>
  </si>
  <si>
    <t>Add dataset discovery metadata.</t>
  </si>
  <si>
    <t>Support file discovery metadata.</t>
  </si>
  <si>
    <t>Split the dataset along the 180° meridian.</t>
  </si>
  <si>
    <t>Ensure correct encoding of the discovery metadata file.</t>
  </si>
  <si>
    <t>Ensure correct encoding of the support file metadata file.</t>
  </si>
  <si>
    <t>Ensure correct encoding of the catalogue metadata file.</t>
  </si>
  <si>
    <t>Amend values of dateEnd or dateStart accordingly.</t>
  </si>
  <si>
    <t>Populate at least one of dateEnd or dateStart.</t>
  </si>
  <si>
    <t>Populate year component of dateStart and dateEnd</t>
  </si>
  <si>
    <t>Populate information or onlineResource.</t>
  </si>
  <si>
    <t>Populate fileReference or text attribute.</t>
  </si>
  <si>
    <t>Populate source Indication.</t>
  </si>
  <si>
    <t>Populate at least one sub-attribute of contactAddress.</t>
  </si>
  <si>
    <t>Populate at least one of frequencyShoreStationTransmits or frequencyShoreStationReceives.</t>
  </si>
  <si>
    <t>Populate at least one of graphic and textContent.</t>
  </si>
  <si>
    <t>Populate at least one attribute of Applicability.</t>
  </si>
  <si>
    <t>Populate at least one of dateFixed, dateVariable, and information.</t>
  </si>
  <si>
    <t>Populate at least one attribute of ContactDetails.</t>
  </si>
  <si>
    <t>Correct or remove the association, or add the missing feature or information type.</t>
  </si>
  <si>
    <t>Remove transmissionContent or add an additional radiocommunications attribute.</t>
  </si>
  <si>
    <t>Encode communicationChannel, signalFrequency, or frequencyPair in radiocommunications.</t>
  </si>
  <si>
    <t>Verify that the absence base dataset is not an error.</t>
  </si>
  <si>
    <t xml:space="preserve">Obtain and install preceding updates. </t>
  </si>
  <si>
    <t>Ignore the update.</t>
  </si>
  <si>
    <t>Remove the categoryOfTrafficSeparationScheme attribute.</t>
  </si>
  <si>
    <t>Add a ContactDetails object and associate the UKCM feature to it.</t>
  </si>
  <si>
    <t>Add a ContactDetails object and associate the WaterwayArea feature to it.</t>
  </si>
  <si>
    <t>Populate at least one of underkeelAllowance Fixed/Variable/BeamBased sub-attributes.</t>
  </si>
  <si>
    <t>Populate sub-attribute operation.</t>
  </si>
  <si>
    <t>Remove the categoryOfNavigationLine attribute.</t>
  </si>
  <si>
    <t>Populate language</t>
  </si>
  <si>
    <t>Remove association to all but one of the associated PilotDistrict features.</t>
  </si>
  <si>
    <t>Logical consistency</t>
  </si>
  <si>
    <t>B, S</t>
  </si>
  <si>
    <t>B, U, S</t>
  </si>
  <si>
    <t>B, U</t>
  </si>
  <si>
    <t>U</t>
  </si>
  <si>
    <t>Apply To</t>
  </si>
  <si>
    <t>Remarks</t>
  </si>
  <si>
    <t>127_Ed1_100</t>
  </si>
  <si>
    <t>127_Ed1_101</t>
  </si>
  <si>
    <t>127_Ed1_102</t>
  </si>
  <si>
    <t>127_Ed1_103</t>
  </si>
  <si>
    <t>127_Ed1_104</t>
  </si>
  <si>
    <t>127_Ed1_105</t>
  </si>
  <si>
    <t>127_Ed1_106</t>
  </si>
  <si>
    <t>127_Ed1_107</t>
  </si>
  <si>
    <t>127_Ed1_108</t>
  </si>
  <si>
    <t>127_Ed1_109</t>
  </si>
  <si>
    <t>127_Ed1_110</t>
  </si>
  <si>
    <t>127_Ed1_111</t>
  </si>
  <si>
    <t>127_Ed1_112</t>
  </si>
  <si>
    <t>127_Ed1_113</t>
  </si>
  <si>
    <t>127_Ed1_114</t>
  </si>
  <si>
    <t>127_Ed1_115</t>
  </si>
  <si>
    <t>127_Ed1_116</t>
  </si>
  <si>
    <t>127_Ed1_117</t>
  </si>
  <si>
    <t>127_Ed1_118</t>
  </si>
  <si>
    <t>127_Ed1_119</t>
  </si>
  <si>
    <t>127_Ed1_120</t>
  </si>
  <si>
    <t>127_Ed1_121</t>
  </si>
  <si>
    <t>127_Ed1_122 </t>
  </si>
  <si>
    <t>127_Ed1_123 </t>
  </si>
  <si>
    <t>127_Ed1_124 </t>
  </si>
  <si>
    <t>127_Ed1_125</t>
  </si>
  <si>
    <t>127_Ed1_126</t>
  </si>
  <si>
    <t>127_Ed1_127</t>
  </si>
  <si>
    <t>127_Ed1_128</t>
  </si>
  <si>
    <t>127_Ed1_129</t>
  </si>
  <si>
    <t>127_Ed1_130</t>
  </si>
  <si>
    <t>127_Ed1_131</t>
  </si>
  <si>
    <t>127_Ed1_132</t>
  </si>
  <si>
    <t>127_Ed1_133</t>
  </si>
  <si>
    <t>127_Ed1_134</t>
  </si>
  <si>
    <t>127_Ed1_135</t>
  </si>
  <si>
    <t>127_Ed1_136</t>
  </si>
  <si>
    <t>127_Ed1_137</t>
  </si>
  <si>
    <t>127_Ed1_138</t>
  </si>
  <si>
    <t>127_Ed1_139</t>
  </si>
  <si>
    <t>127_Ed1_140</t>
  </si>
  <si>
    <t>127_Ed1_141</t>
  </si>
  <si>
    <t>127_Ed1_142</t>
  </si>
  <si>
    <t>127_Ed1_143</t>
  </si>
  <si>
    <t>127_Ed1_144</t>
  </si>
  <si>
    <t>127_Ed1_145</t>
  </si>
  <si>
    <t>127_Ed1_146</t>
  </si>
  <si>
    <t>127_Ed1_147</t>
  </si>
  <si>
    <t>127_Ed1_148</t>
  </si>
  <si>
    <t>127_Ed1_149</t>
  </si>
  <si>
    <t>127_Ed1_150</t>
  </si>
  <si>
    <t>127_Ed1_151</t>
  </si>
  <si>
    <t>127_Ed1_152</t>
  </si>
  <si>
    <t>127_Ed1_153</t>
  </si>
  <si>
    <t>127_Ed1_154</t>
  </si>
  <si>
    <t>127_Ed1_155</t>
  </si>
  <si>
    <t>127_Ed1_158</t>
  </si>
  <si>
    <t>127_Ed1_159</t>
  </si>
  <si>
    <t>127_Ed1_167</t>
  </si>
  <si>
    <t>127_Ed1_168</t>
  </si>
  <si>
    <t>127_Ed1_169</t>
  </si>
  <si>
    <t>127_Ed1_170</t>
  </si>
  <si>
    <t>127_Ed1_171</t>
  </si>
  <si>
    <t>127_Ed1_172</t>
  </si>
  <si>
    <t>127_Ed1_173</t>
  </si>
  <si>
    <t>127_Ed1_174</t>
  </si>
  <si>
    <t>127_Ed1_175</t>
  </si>
  <si>
    <t>127_Ed1_176</t>
  </si>
  <si>
    <t>127_Ed1_177</t>
  </si>
  <si>
    <t>127_Ed1_178</t>
  </si>
  <si>
    <t>127_Ed1_179</t>
  </si>
  <si>
    <t>127_Ed1_180</t>
  </si>
  <si>
    <t>2.0.0</t>
  </si>
  <si>
    <t>Covered by generic check(s) in S-158:100.</t>
  </si>
  <si>
    <t>Redundant in 2.0.0, now covered by generic check for conformance since ...Transmits is made mandatory in FC</t>
  </si>
  <si>
    <t>Attribute radiocommunications removed in Edition 2.0.0</t>
  </si>
  <si>
    <t>[14.2, 14.3]</t>
  </si>
  <si>
    <t>[14.4]</t>
  </si>
  <si>
    <t>[14.5]</t>
  </si>
  <si>
    <t>[10.1.1, 11.1]</t>
  </si>
  <si>
    <t>PS</t>
  </si>
  <si>
    <t>DCEG</t>
  </si>
  <si>
    <t>PS; DCEG</t>
  </si>
  <si>
    <r>
      <t xml:space="preserve">Duplicate </t>
    </r>
    <r>
      <rPr>
        <sz val="10"/>
        <color rgb="FFFF0000"/>
        <rFont val="Calibri"/>
        <family val="2"/>
        <scheme val="minor"/>
      </rPr>
      <t>identifiers</t>
    </r>
    <r>
      <rPr>
        <sz val="10"/>
        <rFont val="Calibri"/>
        <family val="2"/>
        <scheme val="minor"/>
      </rPr>
      <t xml:space="preserve"> exist within the dataset. </t>
    </r>
  </si>
  <si>
    <t>E</t>
  </si>
  <si>
    <r>
      <t xml:space="preserve">Mandatory </t>
    </r>
    <r>
      <rPr>
        <sz val="10"/>
        <color rgb="FFFF0000"/>
        <rFont val="Calibri"/>
        <family val="2"/>
        <scheme val="minor"/>
      </rPr>
      <t>meta</t>
    </r>
    <r>
      <rPr>
        <sz val="10"/>
        <rFont val="Calibri"/>
        <family val="2"/>
        <scheme val="minor"/>
      </rPr>
      <t xml:space="preserve"> feature objects are missing. </t>
    </r>
  </si>
  <si>
    <t>C</t>
  </si>
  <si>
    <t>W</t>
  </si>
  <si>
    <t>[5.2.2]; [4.1]</t>
  </si>
  <si>
    <t>Character encoding for text must be UTF-8.</t>
  </si>
  <si>
    <t>Clause ref. updated in 2.0.0. Message harmonized with S-131 check</t>
  </si>
  <si>
    <t>Values of “name” sub attribute of “featureName” are identical.</t>
  </si>
  <si>
    <t>Values for “text” sub-attribute of “information” are identical.</t>
  </si>
  <si>
    <r>
      <t xml:space="preserve">For each feature instance where more than one featureName is present, and the name </t>
    </r>
    <r>
      <rPr>
        <sz val="10"/>
        <color rgb="FFFF0000"/>
        <rFont val="Calibri"/>
        <family val="2"/>
        <scheme val="minor"/>
      </rPr>
      <t xml:space="preserve">and nameUsage </t>
    </r>
    <r>
      <rPr>
        <sz val="10"/>
        <color rgb="FF000000"/>
        <rFont val="Calibri"/>
        <family val="2"/>
        <scheme val="minor"/>
      </rPr>
      <t xml:space="preserve">subattributes of two or more featureName instances </t>
    </r>
    <r>
      <rPr>
        <sz val="10"/>
        <color rgb="FFFF0000"/>
        <rFont val="Calibri"/>
        <family val="2"/>
        <scheme val="minor"/>
      </rPr>
      <t>are</t>
    </r>
    <r>
      <rPr>
        <sz val="10"/>
        <color rgb="FF000000"/>
        <rFont val="Calibri"/>
        <family val="2"/>
        <scheme val="minor"/>
      </rPr>
      <t xml:space="preserve"> equal.</t>
    </r>
  </si>
  <si>
    <t>2.7.1</t>
  </si>
  <si>
    <t>N/A</t>
  </si>
  <si>
    <t>Condition updated. Message harmonized with S-131 checks</t>
  </si>
  <si>
    <t>Message harmonized with S-131 checks</t>
  </si>
  <si>
    <t>Redundancy check. TBD whether explicit requirement is needed.</t>
  </si>
  <si>
    <t>Clause ref. updated in 2.0.0; check reformulated</t>
  </si>
  <si>
    <t>If the srsName values encoded in the dataset are different from http://www.opengis.net/def/crs/EPSG/0/4326</t>
  </si>
  <si>
    <t>Horizontal CRS is not EPSG 4326.</t>
  </si>
  <si>
    <t>Clause ref. updated in 2.0.0</t>
  </si>
  <si>
    <t>Reclassified W as in S-131</t>
  </si>
  <si>
    <t>Periodic date range must have both dateEnd and dateStart.</t>
  </si>
  <si>
    <t>For each feature instance where periodicDateRange sub-attribute dateStart OR dateEnd is missing.</t>
  </si>
  <si>
    <t>Populate both dateStart and dateEnd.</t>
  </si>
  <si>
    <t>Covered by generic check 100_0004</t>
  </si>
  <si>
    <r>
      <t xml:space="preserve">For each linear geometry which contains vertices at a density Greater than 0.3mm at </t>
    </r>
    <r>
      <rPr>
        <sz val="10"/>
        <color rgb="FFFF0000"/>
        <rFont val="Calibri"/>
        <family val="2"/>
        <scheme val="minor"/>
      </rPr>
      <t>maximumDisplayScale</t>
    </r>
    <r>
      <rPr>
        <sz val="10"/>
        <rFont val="Calibri"/>
        <family val="2"/>
        <scheme val="minor"/>
      </rPr>
      <t xml:space="preserve">. </t>
    </r>
  </si>
  <si>
    <t>Reformulated in terms of  display scale, refs. Updated</t>
  </si>
  <si>
    <t>Covered by generic check(s) in S-158:100. (100_0302)</t>
  </si>
  <si>
    <t>No discovery metadata for catalogue.</t>
  </si>
  <si>
    <t>For each catalogue in the exchange set for which there is no discovery metadata  in the exchange catalogue</t>
  </si>
  <si>
    <t>Add discovery metadata to exchange catalogue or remove catalogue from exchange set.</t>
  </si>
  <si>
    <t>Modified to reflect use of file-less cancellation</t>
  </si>
  <si>
    <t>For each instance of a file referenced in the data and it is not present in the exchange set and not cancelled by discovery metadata</t>
  </si>
  <si>
    <r>
      <t xml:space="preserve">For each file referenced by the catalogue file in the exchange set and not present in the exchange set </t>
    </r>
    <r>
      <rPr>
        <sz val="10"/>
        <color rgb="FFFF0000"/>
        <rFont val="Calibri"/>
        <family val="2"/>
        <scheme val="minor"/>
      </rPr>
      <t>and not cancelled by discovery metadata</t>
    </r>
    <r>
      <rPr>
        <sz val="10"/>
        <rFont val="Calibri"/>
        <family val="2"/>
        <scheme val="minor"/>
      </rPr>
      <t>.</t>
    </r>
  </si>
  <si>
    <r>
      <t xml:space="preserve">dateEnd </t>
    </r>
    <r>
      <rPr>
        <sz val="10"/>
        <color rgb="FFFF0000"/>
        <rFont val="Calibri"/>
        <family val="2"/>
        <scheme val="minor"/>
      </rPr>
      <t>precedes or coincides with</t>
    </r>
    <r>
      <rPr>
        <sz val="10"/>
        <rFont val="Calibri"/>
        <family val="2"/>
        <scheme val="minor"/>
      </rPr>
      <t xml:space="preserve"> dateStart.</t>
    </r>
  </si>
  <si>
    <r>
      <t xml:space="preserve">For each fixedDateRange where dateEnd and dateStart are not Null and dateEnd </t>
    </r>
    <r>
      <rPr>
        <sz val="10"/>
        <color rgb="FFFF0000"/>
        <rFont val="Calibri"/>
        <family val="2"/>
        <scheme val="minor"/>
      </rPr>
      <t>precedes or coincides with</t>
    </r>
    <r>
      <rPr>
        <sz val="10"/>
        <rFont val="Calibri"/>
        <family val="2"/>
        <scheme val="minor"/>
      </rPr>
      <t xml:space="preserve"> dateStart.</t>
    </r>
  </si>
  <si>
    <t>2.4.8.2</t>
  </si>
  <si>
    <t>2.5.5.6</t>
  </si>
  <si>
    <t>For each update dataset, without a feature or information type, or spatial object</t>
  </si>
  <si>
    <t>Add updated feature or information type.</t>
  </si>
  <si>
    <t>Only file-less cancellation is permitted</t>
  </si>
  <si>
    <r>
      <t xml:space="preserve">Remove the dataset file from the exchange set or correct the </t>
    </r>
    <r>
      <rPr>
        <sz val="10"/>
        <color rgb="FFFF0000"/>
        <rFont val="Calibri"/>
        <family val="2"/>
        <scheme val="minor"/>
      </rPr>
      <t>discovery</t>
    </r>
    <r>
      <rPr>
        <sz val="10"/>
        <rFont val="Calibri"/>
        <charset val="134"/>
        <scheme val="minor"/>
      </rPr>
      <t xml:space="preserve"> metadata.</t>
    </r>
  </si>
  <si>
    <t>6.2.1</t>
  </si>
  <si>
    <r>
      <t xml:space="preserve">For each cancellation (termination </t>
    </r>
    <r>
      <rPr>
        <sz val="10"/>
        <color rgb="FFFF0000"/>
        <rFont val="Calibri"/>
        <family val="2"/>
        <scheme val="minor"/>
      </rPr>
      <t xml:space="preserve">(discovery metadata record with purpose=cancellation) </t>
    </r>
    <r>
      <rPr>
        <sz val="10"/>
        <rFont val="Calibri"/>
        <charset val="134"/>
        <scheme val="minor"/>
      </rPr>
      <t>of a dataset where the update exchange set contains a corresponding dataset file.</t>
    </r>
  </si>
  <si>
    <t>Add remark in DCEG</t>
  </si>
  <si>
    <t>add remark to DCEG</t>
  </si>
  <si>
    <t>Covered by 100_0012</t>
  </si>
  <si>
    <t>Values have been padded with non-significant zeroes.</t>
  </si>
  <si>
    <t>[7.3]; [2.6.3]</t>
  </si>
  <si>
    <t>2.4.10.3</t>
  </si>
  <si>
    <t>7.9.1</t>
  </si>
  <si>
    <t>[7.4]; [2.6.10]</t>
  </si>
  <si>
    <t>[12.16]; [5.2.1]</t>
  </si>
  <si>
    <t>various</t>
  </si>
  <si>
    <t>Encoding instructions for features and information types using attribute information</t>
  </si>
  <si>
    <t>5.2.1, various</t>
  </si>
  <si>
    <t>14.5.1</t>
  </si>
  <si>
    <t>14.4.2</t>
  </si>
  <si>
    <t>[12.13]; [14.4.1]</t>
  </si>
  <si>
    <t>6.2.1.3</t>
  </si>
  <si>
    <t>6.2.1.4</t>
  </si>
  <si>
    <t>6.2.2</t>
  </si>
  <si>
    <t>8.3.1</t>
  </si>
  <si>
    <t>8.4.1</t>
  </si>
  <si>
    <t>8.2.2</t>
  </si>
  <si>
    <t>Complex attribute rxNCode must have at least one sub-attribute populated</t>
  </si>
  <si>
    <t>For each complex attribute rxNCode with none of its sub-attributes populated</t>
  </si>
  <si>
    <t>Delete or amend rxNCode</t>
  </si>
  <si>
    <t>12.2.2</t>
  </si>
  <si>
    <t>B,U</t>
  </si>
  <si>
    <t>Overlapping datasets within the same scale range</t>
  </si>
  <si>
    <t>Datasets in the same scale range have overlapping DataCoverage features</t>
  </si>
  <si>
    <t>Correct coverages or scale ranges</t>
  </si>
  <si>
    <t>Schema location missing or incorrect</t>
  </si>
  <si>
    <t>If there is no schemaLocation attribute on the root element of the dataset or the schemaLocation attribute does not indicate the GML schema for this edition of the Product Specification.</t>
  </si>
  <si>
    <t>Amend dataset to use correct schemaLocation</t>
  </si>
  <si>
    <t>12.1.1</t>
  </si>
  <si>
    <t>Update cannot change limits of coverages</t>
  </si>
  <si>
    <t xml:space="preserve"> An update dataset changes the limit of a DataCoverage feature for the base dataset.</t>
  </si>
  <si>
    <t>Amend DataCoverage object or create new edition</t>
  </si>
  <si>
    <t>For each information attribute where fileReference references a text file and the fileLocator attribute is populated.</t>
  </si>
  <si>
    <t>Amend fileReference or use HTML support file</t>
  </si>
  <si>
    <t>2.4.9.2</t>
  </si>
  <si>
    <t>File locator does not reference a location in the file</t>
  </si>
  <si>
    <t>For each fileLocator with a value that does not indicate a location within the referenced file.</t>
  </si>
  <si>
    <t>Amend fileLocator value</t>
  </si>
  <si>
    <t>Complex attribute sourceIndication must have at least one sub-attribute populated</t>
  </si>
  <si>
    <t>For each complex attribute sourceIndication with none of its sub-attributes populated</t>
  </si>
  <si>
    <t>Delete or amend sourceIndication</t>
  </si>
  <si>
    <t>Repeated attribute value</t>
  </si>
  <si>
    <t>For each attribute with the same values as another instance of the same attribute bound to the same feature, information type, or complex attribute</t>
  </si>
  <si>
    <t>Evaluate necessity for repetition and consider deletion of repeated instance</t>
  </si>
  <si>
    <t>6.1, 6.2, 7.9.3</t>
  </si>
  <si>
    <t>2.4.10.3, 14.5.1</t>
  </si>
  <si>
    <t>B</t>
  </si>
  <si>
    <t>B,U,S</t>
  </si>
  <si>
    <t>Applies to exchange sets</t>
  </si>
  <si>
    <t>Maximum display scale is larger or equal to the value of the minimum display scale.</t>
  </si>
  <si>
    <t>For each DataCoverage feature where the attributes maximum display scale and minimum display scale are Present AND value of maximum display scale is larger or equal to the value of the minimum display scales.</t>
  </si>
  <si>
    <t>Correct values of maximum and minimum display scales.</t>
  </si>
  <si>
    <t>4.4.1</t>
  </si>
  <si>
    <t>Dataset contains overlapping DataCoverage features.</t>
  </si>
  <si>
    <t>For each DataCoverage feature that OVERLAPS or is WITHIN another DataCoverage.</t>
  </si>
  <si>
    <t>Remove overlap.</t>
  </si>
  <si>
    <t>DataCoverage features have different values of  the attribute minimum display scale.</t>
  </si>
  <si>
    <t>For each DataCoverage feature where the value of  the attribute minimum display scale is different from other Data Coverage meta features.</t>
  </si>
  <si>
    <t>Use the same values of minimum display scale.</t>
  </si>
  <si>
    <t>Different languages information refers to the same external file and its fragment.</t>
  </si>
  <si>
    <r>
      <t xml:space="preserve">For each feature, information type or complex attribute where two or more </t>
    </r>
    <r>
      <rPr>
        <i/>
        <sz val="10"/>
        <color rgb="FF000000"/>
        <rFont val="Calibri"/>
        <family val="2"/>
        <scheme val="minor"/>
      </rPr>
      <t>information</t>
    </r>
    <r>
      <rPr>
        <sz val="10"/>
        <color rgb="FF000000"/>
        <rFont val="Calibri"/>
        <family val="2"/>
        <scheme val="minor"/>
      </rPr>
      <t xml:space="preserve"> complex attributes are present AND they have different language value AND identical pair of  notNull values of the sub-attributes fileLocator and fileReference.</t>
    </r>
  </si>
  <si>
    <t>Replace with the correct fileLocator and fileReference combination.</t>
  </si>
  <si>
    <t>File reference attribute refers to a file with inadmissible format.</t>
  </si>
  <si>
    <t>For each information complex attribute where  the sub-attribute fileReference  has a file name with extension which is not equal one of .TXT or .HTM.</t>
  </si>
  <si>
    <t>Correct fileReference value and/or support file type.</t>
  </si>
  <si>
    <t>Text attribute contains more than 300 characters.</t>
  </si>
  <si>
    <t>For each instance of the text attribute that contains more than 300 characters</t>
  </si>
  <si>
    <t>Reduce content of text attribute or move to support file.</t>
  </si>
  <si>
    <t>SpatialQuality is associated with a Surface spatial object.</t>
  </si>
  <si>
    <t>For each SpatialQuality information type which is referenced by a Surface spatial object.</t>
  </si>
  <si>
    <t>Remove prohibited association.</t>
  </si>
  <si>
    <t>14.1</t>
  </si>
  <si>
    <t>Prohibited vertical uncertainty attribute of SpatialQuality for curve spatial object.</t>
  </si>
  <si>
    <t>For each SpatialQuality information type which has vertical uncertainty populated and is referenced by a Curve or Composite Curve spatial object.</t>
  </si>
  <si>
    <t>Language code not from ISO 639-2/T list.</t>
  </si>
  <si>
    <r>
      <t xml:space="preserve">For each </t>
    </r>
    <r>
      <rPr>
        <i/>
        <sz val="10"/>
        <color rgb="FF000000"/>
        <rFont val="Calibri"/>
        <family val="2"/>
        <scheme val="minor"/>
      </rPr>
      <t>language</t>
    </r>
    <r>
      <rPr>
        <sz val="10"/>
        <color rgb="FF000000"/>
        <rFont val="Calibri"/>
        <family val="2"/>
        <scheme val="minor"/>
      </rPr>
      <t xml:space="preserve"> attribute which is populated with a value other than one of the 3-character ISO 639-2/T codes</t>
    </r>
    <r>
      <rPr>
        <sz val="10"/>
        <color rgb="FFFF0000"/>
        <rFont val="Calibri"/>
        <family val="2"/>
        <scheme val="minor"/>
      </rPr>
      <t xml:space="preserve"> in the S-100 languages list on the schema server</t>
    </r>
    <r>
      <rPr>
        <sz val="10"/>
        <color rgb="FF000000"/>
        <rFont val="Calibri"/>
        <family val="2"/>
        <scheme val="minor"/>
      </rPr>
      <t>.</t>
    </r>
  </si>
  <si>
    <t>Correct language code.</t>
  </si>
  <si>
    <t>2.4.8.3</t>
  </si>
  <si>
    <r>
      <t xml:space="preserve">For each feature record where the </t>
    </r>
    <r>
      <rPr>
        <sz val="10"/>
        <color rgb="FFFF0000"/>
        <rFont val="Calibri"/>
        <family val="2"/>
        <scheme val="minor"/>
      </rPr>
      <t>identifier</t>
    </r>
    <r>
      <rPr>
        <sz val="10"/>
        <rFont val="Calibri"/>
        <family val="2"/>
        <scheme val="minor"/>
      </rPr>
      <t xml:space="preserve"> is not unique WITHIN the dataset.</t>
    </r>
  </si>
  <si>
    <r>
      <t xml:space="preserve">Ensure that no duplicate </t>
    </r>
    <r>
      <rPr>
        <sz val="10"/>
        <color rgb="FFFF0000"/>
        <rFont val="Calibri"/>
        <family val="2"/>
        <scheme val="minor"/>
      </rPr>
      <t>identifiers</t>
    </r>
    <r>
      <rPr>
        <sz val="10"/>
        <rFont val="Calibri"/>
        <family val="2"/>
        <scheme val="minor"/>
      </rPr>
      <t xml:space="preserve"> exist.</t>
    </r>
  </si>
  <si>
    <r>
      <rPr>
        <sz val="10"/>
        <color rgb="FFFF0000"/>
        <rFont val="Calibri"/>
        <family val="2"/>
        <scheme val="minor"/>
      </rPr>
      <t>Dataset is not</t>
    </r>
    <r>
      <rPr>
        <sz val="10"/>
        <rFont val="Calibri"/>
        <family val="2"/>
        <scheme val="minor"/>
      </rPr>
      <t xml:space="preserve"> conformant to the GML schema.</t>
    </r>
  </si>
  <si>
    <r>
      <rPr>
        <sz val="10"/>
        <color rgb="FFFF0000"/>
        <rFont val="Calibri"/>
        <family val="2"/>
        <scheme val="minor"/>
      </rPr>
      <t xml:space="preserve">Text field is not </t>
    </r>
    <r>
      <rPr>
        <sz val="10"/>
        <rFont val="Calibri"/>
        <family val="2"/>
        <scheme val="minor"/>
      </rPr>
      <t>encoded using UTF-8</t>
    </r>
  </si>
  <si>
    <t>For each feature instance that does not OVERLAP OR is WITHIN an area of DataCoverage</t>
  </si>
  <si>
    <r>
      <t xml:space="preserve">Ensure that the cell is not larger than 500 </t>
    </r>
    <r>
      <rPr>
        <sz val="10"/>
        <color rgb="FFFF0000"/>
        <rFont val="Calibri"/>
        <family val="2"/>
        <scheme val="minor"/>
      </rPr>
      <t>KiB</t>
    </r>
    <r>
      <rPr>
        <sz val="10"/>
        <rFont val="Calibri"/>
        <family val="2"/>
        <scheme val="minor"/>
      </rPr>
      <t>.</t>
    </r>
  </si>
  <si>
    <r>
      <t xml:space="preserve">If the update dataset file size is greater than 500 </t>
    </r>
    <r>
      <rPr>
        <sz val="10"/>
        <color rgb="FFFF0000"/>
        <rFont val="Calibri"/>
        <family val="2"/>
        <scheme val="minor"/>
      </rPr>
      <t>KiB</t>
    </r>
    <r>
      <rPr>
        <sz val="10"/>
        <rFont val="Calibri"/>
        <family val="2"/>
        <scheme val="minor"/>
      </rPr>
      <t>.</t>
    </r>
  </si>
  <si>
    <r>
      <t xml:space="preserve">If the cell file size is greater than 20 </t>
    </r>
    <r>
      <rPr>
        <sz val="10"/>
        <color rgb="FFFF0000"/>
        <rFont val="Calibri"/>
        <family val="2"/>
        <scheme val="minor"/>
      </rPr>
      <t>MiB</t>
    </r>
    <r>
      <rPr>
        <sz val="10"/>
        <rFont val="Calibri"/>
        <family val="2"/>
        <scheme val="minor"/>
      </rPr>
      <t>.</t>
    </r>
  </si>
  <si>
    <r>
      <t xml:space="preserve">Ensure that the cell is not larger than 20 </t>
    </r>
    <r>
      <rPr>
        <sz val="10"/>
        <color rgb="FFFF0000"/>
        <rFont val="Calibri"/>
        <family val="2"/>
        <scheme val="minor"/>
      </rPr>
      <t>MiB</t>
    </r>
    <r>
      <rPr>
        <sz val="10"/>
        <rFont val="Calibri"/>
        <family val="2"/>
        <scheme val="minor"/>
      </rPr>
      <t>.</t>
    </r>
  </si>
  <si>
    <t>Set the horizontal CRS to EPSG 4326 using the OGC URI convention.</t>
  </si>
  <si>
    <t>13.3.2, 13.3.3</t>
  </si>
  <si>
    <t>15.5.1</t>
  </si>
  <si>
    <t>Implicit, but add explicit statement that the target must be in the same dataset</t>
  </si>
  <si>
    <t>2.4.8.5</t>
  </si>
  <si>
    <t>File locators for text files are prohibited</t>
  </si>
  <si>
    <t>Complex attribute bearingInformation must have at least one sub-attribute populated</t>
  </si>
  <si>
    <t>For each complex attribute bearingInformation with none of its sub-attributes populated</t>
  </si>
  <si>
    <t>Delete or amend bearingInformation</t>
  </si>
  <si>
    <t>Value required for mandatory attribute</t>
  </si>
  <si>
    <t>For each attribute binding listed in in DCEG clause 2.4 as not nillableAND which is not populated</t>
  </si>
  <si>
    <t>Populate attribute</t>
  </si>
  <si>
    <t>Each RadioCallingInPoint feature of type point must carry at least one orientation</t>
  </si>
  <si>
    <t>For each RadioCallingInPoint feature of type point with attribute orientation omitted</t>
  </si>
  <si>
    <t>Populate attribute orientation</t>
  </si>
  <si>
    <t>7.4.2</t>
  </si>
  <si>
    <t>Direction of RadioCallingInPoint curve does not conform to digitising direction requirement</t>
  </si>
  <si>
    <t>Correct direction of line</t>
  </si>
  <si>
    <t>RadioCallingInPoint features of type curve must be encoded such that resultant direction of the  line (accounting for the direction of digitising and any subsequent reversal of the curve) is such that the direction of traffic that is required to report is to the right.</t>
  </si>
  <si>
    <t>CautionArea features of type surface shares or COINCIDES with the geometry of features such as Depth Contour (S-101) and other features with higher ECDIS display priorities</t>
  </si>
  <si>
    <t>Adjust CautionArea</t>
  </si>
  <si>
    <t>10.2.2</t>
  </si>
  <si>
    <t>CautionArea may have "open-ended" appearance</t>
  </si>
  <si>
    <t>Nilled attribute code populated with non-nil code value</t>
  </si>
  <si>
    <t>For each nillable enumeration or codelist attribute where xsi:nil=true but attribute code is present and populated with a value &gt; 0</t>
  </si>
  <si>
    <t>Amend value of code or remove nilling</t>
  </si>
  <si>
    <t>B.U</t>
  </si>
  <si>
    <t>Requirement needs to be documented in DCEG</t>
  </si>
  <si>
    <t>Nilled attribute without nilReason populated</t>
  </si>
  <si>
    <t>For each nilled attribute without nilReason populated</t>
  </si>
  <si>
    <t>Populate nilReason for nilled attributes</t>
  </si>
  <si>
    <t>Producers may further restrict allowed values of nilReason. Requirement needs to be added to DCEG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</si>
</sst>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
    <numFmt numFmtId="165" formatCode="yyyy/mm/dd;@"/>
  </numFmts>
  <fonts count="16">
    <font>
      <sz val="11"/>
      <color theme="1"/>
      <name val="Calibri"/>
      <charset val="134"/>
      <scheme val="minor"/>
    </font>
    <font>
      <sz val="11"/>
      <color theme="1"/>
      <name val="Calibri"/>
      <family val="2"/>
      <scheme val="minor"/>
    </font>
    <font>
      <sz val="10"/>
      <name val="Calibri"/>
      <charset val="134"/>
      <scheme val="minor"/>
    </font>
    <font>
      <sz val="10"/>
      <color rgb="FFFF0000"/>
      <name val="Calibri"/>
      <charset val="134"/>
      <scheme val="minor"/>
    </font>
    <font>
      <sz val="12"/>
      <color theme="1"/>
      <name val="Calibri"/>
      <charset val="134"/>
      <scheme val="minor"/>
    </font>
    <font>
      <b/>
      <sz val="14"/>
      <color theme="1"/>
      <name val="Calibri"/>
      <charset val="134"/>
      <scheme val="minor"/>
    </font>
    <font>
      <b/>
      <sz val="12"/>
      <color theme="1"/>
      <name val="Calibri"/>
      <charset val="134"/>
      <scheme val="minor"/>
    </font>
    <font>
      <i/>
      <sz val="12"/>
      <color theme="9" tint="-0.249977111117893"/>
      <name val="Calibri"/>
      <charset val="134"/>
      <scheme val="minor"/>
    </font>
    <font>
      <sz val="11"/>
      <color rgb="FF9C6500"/>
      <name val="Calibri"/>
      <charset val="134"/>
      <scheme val="minor"/>
    </font>
    <font>
      <sz val="11"/>
      <color rgb="FF006100"/>
      <name val="Calibri"/>
      <charset val="134"/>
      <scheme val="minor"/>
    </font>
    <font>
      <i/>
      <sz val="12"/>
      <color theme="9" tint="-0.249977111117893"/>
      <name val="Calibri"/>
      <family val="2"/>
      <scheme val="minor"/>
    </font>
    <font>
      <sz val="10"/>
      <name val="Calibri"/>
      <family val="2"/>
      <scheme val="minor"/>
    </font>
    <font>
      <sz val="10"/>
      <color rgb="FFFF0000"/>
      <name val="Calibri"/>
      <family val="2"/>
      <scheme val="minor"/>
    </font>
    <font>
      <sz val="10"/>
      <color theme="1"/>
      <name val="Calibri"/>
      <family val="2"/>
      <scheme val="minor"/>
    </font>
    <font>
      <sz val="10"/>
      <color rgb="FF000000"/>
      <name val="Calibri"/>
      <family val="2"/>
      <scheme val="minor"/>
    </font>
    <font>
      <i/>
      <sz val="10"/>
      <color rgb="FF000000"/>
      <name val="Calibri"/>
      <family val="2"/>
      <scheme val="minor"/>
    </font>
  </fonts>
  <fills count="11">
    <fill>
      <patternFill patternType="none"/>
    </fill>
    <fill>
      <patternFill patternType="gray125"/>
    </fill>
    <fill>
      <patternFill patternType="solid">
        <fgColor theme="0" tint="-0.1498764000366222"/>
        <bgColor indexed="64"/>
      </patternFill>
    </fill>
    <fill>
      <patternFill patternType="solid">
        <fgColor theme="0"/>
        <bgColor indexed="64"/>
      </patternFill>
    </fill>
    <fill>
      <patternFill patternType="solid">
        <fgColor theme="0" tint="-4.9989318521683403E-2"/>
        <bgColor indexed="64"/>
      </patternFill>
    </fill>
    <fill>
      <patternFill patternType="solid">
        <fgColor theme="8" tint="0.79985961485641044"/>
        <bgColor indexed="64"/>
      </patternFill>
    </fill>
    <fill>
      <patternFill patternType="solid">
        <fgColor theme="9" tint="0.79985961485641044"/>
        <bgColor indexed="64"/>
      </patternFill>
    </fill>
    <fill>
      <patternFill patternType="solid">
        <fgColor rgb="FFFFEB9C"/>
        <bgColor indexed="64"/>
      </patternFill>
    </fill>
    <fill>
      <patternFill patternType="solid">
        <fgColor rgb="FFC6EFCE"/>
        <bgColor indexed="64"/>
      </patternFill>
    </fill>
    <fill>
      <patternFill patternType="solid">
        <fgColor theme="0" tint="-0.14996795556505021"/>
        <bgColor indexed="64"/>
      </patternFill>
    </fill>
    <fill>
      <patternFill patternType="solid">
        <fgColor rgb="FFFFFFFF"/>
        <bgColor indexed="64"/>
      </patternFill>
    </fill>
  </fills>
  <borders count="28">
    <border>
      <left/>
      <right/>
      <top/>
      <bottom/>
      <diagonal/>
    </border>
    <border>
      <left style="medium">
        <color auto="1"/>
      </left>
      <right style="medium">
        <color auto="1"/>
      </right>
      <top style="medium">
        <color auto="1"/>
      </top>
      <bottom style="medium">
        <color auto="1"/>
      </bottom>
      <diagonal/>
    </border>
    <border>
      <left style="medium">
        <color auto="1"/>
      </left>
      <right style="medium">
        <color auto="1"/>
      </right>
      <top style="thin">
        <color auto="1"/>
      </top>
      <bottom style="medium">
        <color auto="1"/>
      </bottom>
      <diagonal/>
    </border>
    <border>
      <left style="thin">
        <color auto="1"/>
      </left>
      <right style="thin">
        <color auto="1"/>
      </right>
      <top style="thin">
        <color auto="1"/>
      </top>
      <bottom style="thin">
        <color auto="1"/>
      </bottom>
      <diagonal/>
    </border>
    <border>
      <left style="medium">
        <color auto="1"/>
      </left>
      <right style="medium">
        <color auto="1"/>
      </right>
      <top/>
      <bottom style="thin">
        <color auto="1"/>
      </bottom>
      <diagonal/>
    </border>
    <border>
      <left style="medium">
        <color auto="1"/>
      </left>
      <right style="medium">
        <color auto="1"/>
      </right>
      <top/>
      <bottom/>
      <diagonal/>
    </border>
    <border>
      <left style="thin">
        <color auto="1"/>
      </left>
      <right style="thin">
        <color auto="1"/>
      </right>
      <top style="thin">
        <color auto="1"/>
      </top>
      <bottom/>
      <diagonal/>
    </border>
    <border>
      <left style="medium">
        <color auto="1"/>
      </left>
      <right style="medium">
        <color auto="1"/>
      </right>
      <top style="thin">
        <color auto="1"/>
      </top>
      <bottom style="thin">
        <color auto="1"/>
      </bottom>
      <diagonal/>
    </border>
    <border>
      <left style="thin">
        <color auto="1"/>
      </left>
      <right/>
      <top style="thin">
        <color auto="1"/>
      </top>
      <bottom style="thin">
        <color auto="1"/>
      </bottom>
      <diagonal/>
    </border>
    <border>
      <left style="medium">
        <color auto="1"/>
      </left>
      <right style="medium">
        <color auto="1"/>
      </right>
      <top style="thin">
        <color auto="1"/>
      </top>
      <bottom/>
      <diagonal/>
    </border>
    <border>
      <left style="medium">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right/>
      <top/>
      <bottom style="thin">
        <color theme="0" tint="-0.1498764000366222"/>
      </bottom>
      <diagonal/>
    </border>
    <border>
      <left/>
      <right/>
      <top style="thin">
        <color theme="0" tint="-0.1498764000366222"/>
      </top>
      <bottom style="thin">
        <color theme="0" tint="-0.1498764000366222"/>
      </bottom>
      <diagonal/>
    </border>
    <border>
      <left/>
      <right/>
      <top style="thin">
        <color theme="0" tint="-0.1498764000366222"/>
      </top>
      <bottom/>
      <diagonal/>
    </border>
    <border>
      <left style="medium">
        <color auto="1"/>
      </left>
      <right/>
      <top/>
      <bottom style="medium">
        <color auto="1"/>
      </bottom>
      <diagonal/>
    </border>
    <border>
      <left/>
      <right/>
      <top/>
      <bottom style="medium">
        <color auto="1"/>
      </bottom>
      <diagonal/>
    </border>
    <border>
      <left/>
      <right style="medium">
        <color auto="1"/>
      </right>
      <top style="medium">
        <color auto="1"/>
      </top>
      <bottom/>
      <diagonal/>
    </border>
    <border>
      <left/>
      <right style="medium">
        <color auto="1"/>
      </right>
      <top/>
      <bottom/>
      <diagonal/>
    </border>
    <border>
      <left/>
      <right style="medium">
        <color auto="1"/>
      </right>
      <top/>
      <bottom style="medium">
        <color auto="1"/>
      </bottom>
      <diagonal/>
    </border>
    <border>
      <left style="medium">
        <color auto="1"/>
      </left>
      <right/>
      <top/>
      <bottom style="thin">
        <color auto="1"/>
      </bottom>
      <diagonal/>
    </border>
    <border>
      <left style="thin">
        <color auto="1"/>
      </left>
      <right style="thin">
        <color auto="1"/>
      </right>
      <top/>
      <bottom style="thin">
        <color auto="1"/>
      </bottom>
      <diagonal/>
    </border>
    <border>
      <left style="medium">
        <color rgb="FF000000"/>
      </left>
      <right style="medium">
        <color rgb="FF000000"/>
      </right>
      <top/>
      <bottom style="medium">
        <color rgb="FF000000"/>
      </bottom>
      <diagonal/>
    </border>
    <border>
      <left style="medium">
        <color rgb="FF000000"/>
      </left>
      <right style="medium">
        <color auto="1"/>
      </right>
      <top style="medium">
        <color rgb="FF000000"/>
      </top>
      <bottom style="medium">
        <color rgb="FF000000"/>
      </bottom>
      <diagonal/>
    </border>
    <border>
      <left style="medium">
        <color rgb="FF000000"/>
      </left>
      <right style="medium">
        <color auto="1"/>
      </right>
      <top style="medium">
        <color auto="1"/>
      </top>
      <bottom style="medium">
        <color rgb="FF000000"/>
      </bottom>
      <diagonal/>
    </border>
    <border>
      <left style="medium">
        <color rgb="FF000000"/>
      </left>
      <right style="medium">
        <color rgb="FF000000"/>
      </right>
      <top style="medium">
        <color rgb="FF000000"/>
      </top>
      <bottom style="medium">
        <color rgb="FF000000"/>
      </bottom>
      <diagonal/>
    </border>
  </borders>
  <cellStyleXfs count="3">
    <xf numFmtId="0" fontId="0" fillId="0" borderId="0"/>
    <xf numFmtId="0" fontId="8" fillId="7" borderId="0" applyNumberFormat="0" applyBorder="0" applyAlignment="0" applyProtection="0"/>
    <xf numFmtId="0" fontId="9" fillId="8" borderId="0" applyNumberFormat="0" applyBorder="0" applyAlignment="0" applyProtection="0"/>
  </cellStyleXfs>
  <cellXfs count="126">
    <xf numFmtId="0" fontId="0" fillId="0" borderId="0" xfId="0"/>
    <xf numFmtId="0" fontId="2" fillId="0" borderId="0" xfId="0" applyFont="1"/>
    <xf numFmtId="0" fontId="3" fillId="0" borderId="0" xfId="0" applyFont="1"/>
    <xf numFmtId="0" fontId="2" fillId="0" borderId="0" xfId="0" applyFont="1" applyAlignment="1">
      <alignment wrapText="1"/>
    </xf>
    <xf numFmtId="0" fontId="2" fillId="2" borderId="2" xfId="0" applyFont="1" applyFill="1" applyBorder="1" applyAlignment="1">
      <alignment horizontal="center" vertical="center" wrapText="1"/>
    </xf>
    <xf numFmtId="0" fontId="2" fillId="0" borderId="3" xfId="0" applyFont="1" applyBorder="1" applyAlignment="1">
      <alignment horizontal="center" vertical="center" wrapText="1"/>
    </xf>
    <xf numFmtId="0" fontId="2" fillId="0" borderId="3" xfId="0" applyFont="1" applyBorder="1" applyAlignment="1">
      <alignment wrapText="1"/>
    </xf>
    <xf numFmtId="0" fontId="2" fillId="2" borderId="1" xfId="0" applyFont="1" applyFill="1" applyBorder="1" applyAlignment="1">
      <alignment vertical="center" wrapText="1"/>
    </xf>
    <xf numFmtId="0" fontId="2" fillId="0" borderId="4" xfId="0" applyFont="1" applyBorder="1" applyAlignment="1">
      <alignment wrapText="1"/>
    </xf>
    <xf numFmtId="0" fontId="4" fillId="0" borderId="0" xfId="0" applyFont="1"/>
    <xf numFmtId="0" fontId="0" fillId="0" borderId="0" xfId="0" applyAlignment="1">
      <alignment horizontal="right" vertical="center"/>
    </xf>
    <xf numFmtId="0" fontId="0" fillId="0" borderId="0" xfId="0" applyAlignment="1">
      <alignment horizontal="right"/>
    </xf>
    <xf numFmtId="0" fontId="6" fillId="4" borderId="13" xfId="0" applyFont="1" applyFill="1" applyBorder="1" applyAlignment="1">
      <alignment horizontal="right" vertical="center"/>
    </xf>
    <xf numFmtId="0" fontId="7" fillId="3" borderId="0" xfId="0" applyFont="1" applyFill="1" applyAlignment="1">
      <alignment horizontal="left" vertical="center"/>
    </xf>
    <xf numFmtId="0" fontId="4" fillId="3" borderId="0" xfId="0" applyFont="1" applyFill="1"/>
    <xf numFmtId="0" fontId="7" fillId="3" borderId="0" xfId="0" applyFont="1" applyFill="1" applyAlignment="1">
      <alignment horizontal="center" vertical="center"/>
    </xf>
    <xf numFmtId="165" fontId="7" fillId="3" borderId="0" xfId="0" applyNumberFormat="1" applyFont="1" applyFill="1" applyAlignment="1">
      <alignment horizontal="center" vertical="center"/>
    </xf>
    <xf numFmtId="164" fontId="7" fillId="3" borderId="0" xfId="0" applyNumberFormat="1" applyFont="1" applyFill="1" applyAlignment="1">
      <alignment horizontal="center" vertical="center"/>
    </xf>
    <xf numFmtId="14" fontId="7" fillId="3" borderId="0" xfId="0" applyNumberFormat="1" applyFont="1" applyFill="1" applyAlignment="1">
      <alignment horizontal="center" vertical="center"/>
    </xf>
    <xf numFmtId="0" fontId="6" fillId="5" borderId="13" xfId="0" applyFont="1" applyFill="1" applyBorder="1" applyAlignment="1">
      <alignment horizontal="right" vertical="center"/>
    </xf>
    <xf numFmtId="0" fontId="6" fillId="5" borderId="0" xfId="0" applyFont="1" applyFill="1" applyAlignment="1">
      <alignment horizontal="center" vertical="center"/>
    </xf>
    <xf numFmtId="0" fontId="6" fillId="5" borderId="0" xfId="0" applyFont="1" applyFill="1"/>
    <xf numFmtId="0" fontId="7" fillId="3" borderId="14" xfId="0" applyFont="1" applyFill="1" applyBorder="1"/>
    <xf numFmtId="0" fontId="7" fillId="3" borderId="15" xfId="0" applyFont="1" applyFill="1" applyBorder="1" applyAlignment="1">
      <alignment horizontal="left" vertical="center"/>
    </xf>
    <xf numFmtId="0" fontId="7" fillId="3" borderId="0" xfId="0" applyFont="1" applyFill="1" applyAlignment="1">
      <alignment horizontal="left"/>
    </xf>
    <xf numFmtId="0" fontId="4" fillId="3" borderId="15" xfId="0" applyFont="1" applyFill="1" applyBorder="1" applyAlignment="1">
      <alignment horizontal="left"/>
    </xf>
    <xf numFmtId="0" fontId="4" fillId="3" borderId="15" xfId="0" applyFont="1" applyFill="1" applyBorder="1"/>
    <xf numFmtId="0" fontId="4" fillId="3" borderId="0" xfId="0" applyFont="1" applyFill="1" applyAlignment="1">
      <alignment horizontal="left"/>
    </xf>
    <xf numFmtId="0" fontId="4" fillId="3" borderId="17" xfId="0" applyFont="1" applyFill="1" applyBorder="1" applyAlignment="1">
      <alignment horizontal="right" vertical="center"/>
    </xf>
    <xf numFmtId="0" fontId="4" fillId="3" borderId="18" xfId="0" applyFont="1" applyFill="1" applyBorder="1" applyAlignment="1">
      <alignment horizontal="right"/>
    </xf>
    <xf numFmtId="0" fontId="4" fillId="3" borderId="18" xfId="0" applyFont="1" applyFill="1" applyBorder="1"/>
    <xf numFmtId="0" fontId="4" fillId="0" borderId="0" xfId="0" applyFont="1" applyAlignment="1">
      <alignment horizontal="right" vertical="center"/>
    </xf>
    <xf numFmtId="0" fontId="4" fillId="0" borderId="0" xfId="0" applyFont="1" applyAlignment="1">
      <alignment horizontal="right"/>
    </xf>
    <xf numFmtId="0" fontId="5" fillId="0" borderId="0" xfId="0" applyFont="1"/>
    <xf numFmtId="0" fontId="4" fillId="3" borderId="20" xfId="0" applyFont="1" applyFill="1" applyBorder="1"/>
    <xf numFmtId="0" fontId="6" fillId="6" borderId="0" xfId="0" applyFont="1" applyFill="1"/>
    <xf numFmtId="0" fontId="7" fillId="3" borderId="0" xfId="0" applyFont="1" applyFill="1"/>
    <xf numFmtId="0" fontId="7" fillId="3" borderId="15" xfId="0" applyFont="1" applyFill="1" applyBorder="1"/>
    <xf numFmtId="0" fontId="7" fillId="3" borderId="16" xfId="0" applyFont="1" applyFill="1" applyBorder="1"/>
    <xf numFmtId="0" fontId="4" fillId="3" borderId="21" xfId="0" applyFont="1" applyFill="1" applyBorder="1"/>
    <xf numFmtId="49" fontId="10" fillId="3" borderId="0" xfId="0" applyNumberFormat="1" applyFont="1" applyFill="1" applyAlignment="1">
      <alignment horizontal="center"/>
    </xf>
    <xf numFmtId="0" fontId="10" fillId="3" borderId="14" xfId="0" applyFont="1" applyFill="1" applyBorder="1"/>
    <xf numFmtId="0" fontId="11" fillId="0" borderId="3" xfId="0" applyFont="1" applyBorder="1" applyAlignment="1">
      <alignment horizontal="center" vertical="center" wrapText="1"/>
    </xf>
    <xf numFmtId="0" fontId="11" fillId="0" borderId="0" xfId="0" applyFont="1" applyAlignment="1">
      <alignment wrapText="1"/>
    </xf>
    <xf numFmtId="0" fontId="11" fillId="0" borderId="7" xfId="0" applyFont="1" applyBorder="1" applyAlignment="1">
      <alignment horizontal="center" vertical="center" wrapText="1"/>
    </xf>
    <xf numFmtId="0" fontId="2" fillId="0" borderId="22" xfId="0" applyFont="1" applyBorder="1" applyAlignment="1">
      <alignment horizontal="center" vertical="center" wrapText="1"/>
    </xf>
    <xf numFmtId="0" fontId="2" fillId="0" borderId="23" xfId="0" applyFont="1" applyBorder="1" applyAlignment="1">
      <alignment horizontal="center" vertical="center" wrapText="1"/>
    </xf>
    <xf numFmtId="0" fontId="11" fillId="0" borderId="4" xfId="0" applyFont="1" applyBorder="1" applyAlignment="1">
      <alignment wrapText="1"/>
    </xf>
    <xf numFmtId="0" fontId="11" fillId="0" borderId="3" xfId="0" applyFont="1" applyBorder="1" applyAlignment="1">
      <alignment wrapText="1"/>
    </xf>
    <xf numFmtId="0" fontId="11" fillId="0" borderId="0" xfId="0" applyFont="1"/>
    <xf numFmtId="0" fontId="11" fillId="0" borderId="6" xfId="0" applyFont="1" applyBorder="1" applyAlignment="1">
      <alignment horizontal="center" vertical="center" wrapText="1"/>
    </xf>
    <xf numFmtId="0" fontId="11" fillId="0" borderId="9" xfId="0" applyFont="1" applyBorder="1" applyAlignment="1">
      <alignment horizontal="center" vertical="center" wrapText="1"/>
    </xf>
    <xf numFmtId="0" fontId="11" fillId="0" borderId="5" xfId="0" applyFont="1" applyBorder="1" applyAlignment="1">
      <alignment wrapText="1"/>
    </xf>
    <xf numFmtId="0" fontId="11" fillId="9" borderId="1" xfId="0" applyFont="1" applyFill="1" applyBorder="1" applyAlignment="1">
      <alignment vertical="center" wrapText="1"/>
    </xf>
    <xf numFmtId="0" fontId="11" fillId="0" borderId="8" xfId="0" applyFont="1" applyBorder="1" applyAlignment="1">
      <alignment horizontal="center" vertical="center" wrapText="1"/>
    </xf>
    <xf numFmtId="0" fontId="11" fillId="9" borderId="1" xfId="0" applyFont="1" applyFill="1" applyBorder="1" applyAlignment="1">
      <alignment horizontal="center" vertical="center" wrapText="1"/>
    </xf>
    <xf numFmtId="0" fontId="10" fillId="3" borderId="0" xfId="0" applyFont="1" applyFill="1" applyAlignment="1">
      <alignment horizontal="left" vertical="center"/>
    </xf>
    <xf numFmtId="0" fontId="10" fillId="3" borderId="16" xfId="0" applyFont="1" applyFill="1" applyBorder="1" applyAlignment="1">
      <alignment horizontal="left"/>
    </xf>
    <xf numFmtId="0" fontId="10" fillId="3" borderId="0" xfId="0" applyFont="1" applyFill="1"/>
    <xf numFmtId="0" fontId="2" fillId="0" borderId="3" xfId="0" applyFont="1" applyBorder="1" applyAlignment="1">
      <alignment horizontal="left" vertical="center" wrapText="1"/>
    </xf>
    <xf numFmtId="0" fontId="11" fillId="0" borderId="3" xfId="0" applyFont="1" applyBorder="1" applyAlignment="1">
      <alignment horizontal="left" vertical="center" wrapText="1"/>
    </xf>
    <xf numFmtId="0" fontId="11" fillId="0" borderId="3" xfId="1" applyFont="1" applyFill="1" applyBorder="1" applyAlignment="1">
      <alignment horizontal="left" vertical="center" wrapText="1"/>
    </xf>
    <xf numFmtId="49" fontId="2" fillId="0" borderId="3" xfId="0" applyNumberFormat="1" applyFont="1" applyBorder="1" applyAlignment="1">
      <alignment horizontal="left" vertical="center" wrapText="1"/>
    </xf>
    <xf numFmtId="49" fontId="2" fillId="0" borderId="3" xfId="1" applyNumberFormat="1" applyFont="1" applyFill="1" applyBorder="1" applyAlignment="1">
      <alignment horizontal="left" vertical="center" wrapText="1"/>
    </xf>
    <xf numFmtId="0" fontId="2" fillId="0" borderId="3" xfId="2" applyFont="1" applyFill="1" applyBorder="1" applyAlignment="1">
      <alignment horizontal="left" vertical="center" wrapText="1"/>
    </xf>
    <xf numFmtId="0" fontId="11" fillId="0" borderId="6" xfId="0" applyFont="1" applyBorder="1" applyAlignment="1">
      <alignment horizontal="left" vertical="center" wrapText="1"/>
    </xf>
    <xf numFmtId="0" fontId="2" fillId="0" borderId="0" xfId="0" applyFont="1" applyAlignment="1">
      <alignment horizontal="left" wrapText="1"/>
    </xf>
    <xf numFmtId="0" fontId="11" fillId="0" borderId="0" xfId="0" applyFont="1" applyAlignment="1">
      <alignment horizontal="left" wrapText="1"/>
    </xf>
    <xf numFmtId="49" fontId="11" fillId="0" borderId="3" xfId="1" applyNumberFormat="1" applyFont="1" applyFill="1" applyBorder="1" applyAlignment="1">
      <alignment horizontal="left" vertical="center" wrapText="1"/>
    </xf>
    <xf numFmtId="0" fontId="11" fillId="0" borderId="3" xfId="2" applyFont="1" applyFill="1" applyBorder="1" applyAlignment="1">
      <alignment horizontal="left" vertical="center" wrapText="1"/>
    </xf>
    <xf numFmtId="0" fontId="11" fillId="0" borderId="0" xfId="0" applyFont="1" applyAlignment="1">
      <alignment horizontal="left" vertical="top" wrapText="1"/>
    </xf>
    <xf numFmtId="0" fontId="11" fillId="9" borderId="1" xfId="0" applyFont="1" applyFill="1" applyBorder="1" applyAlignment="1">
      <alignment wrapText="1"/>
    </xf>
    <xf numFmtId="0" fontId="2" fillId="0" borderId="10" xfId="0" applyFont="1" applyBorder="1" applyAlignment="1">
      <alignment wrapText="1"/>
    </xf>
    <xf numFmtId="0" fontId="3" fillId="0" borderId="0" xfId="0" applyFont="1" applyAlignment="1">
      <alignment wrapText="1"/>
    </xf>
    <xf numFmtId="0" fontId="11" fillId="0" borderId="10" xfId="0" applyFont="1" applyBorder="1" applyAlignment="1">
      <alignment wrapText="1"/>
    </xf>
    <xf numFmtId="0" fontId="2" fillId="0" borderId="7" xfId="0" applyFont="1" applyBorder="1" applyAlignment="1">
      <alignment wrapText="1"/>
    </xf>
    <xf numFmtId="0" fontId="2" fillId="0" borderId="0" xfId="0" applyFont="1" applyAlignment="1">
      <alignment horizontal="center" wrapText="1"/>
    </xf>
    <xf numFmtId="0" fontId="11" fillId="0" borderId="0" xfId="0" applyFont="1" applyAlignment="1">
      <alignment vertical="center" wrapText="1"/>
    </xf>
    <xf numFmtId="0" fontId="11" fillId="0" borderId="0" xfId="0" applyFont="1" applyAlignment="1">
      <alignment horizontal="center" wrapText="1"/>
    </xf>
    <xf numFmtId="0" fontId="2" fillId="0" borderId="0" xfId="0" applyFont="1" applyAlignment="1">
      <alignment horizontal="center" vertical="center" wrapText="1"/>
    </xf>
    <xf numFmtId="0" fontId="12" fillId="10" borderId="24" xfId="0" applyFont="1" applyFill="1" applyBorder="1" applyAlignment="1">
      <alignment horizontal="justify" vertical="center" wrapText="1"/>
    </xf>
    <xf numFmtId="0" fontId="11" fillId="9" borderId="1" xfId="0" applyFont="1" applyFill="1" applyBorder="1" applyAlignment="1">
      <alignment horizontal="left" vertical="center" wrapText="1"/>
    </xf>
    <xf numFmtId="0" fontId="13" fillId="0" borderId="1" xfId="0" applyFont="1" applyBorder="1" applyAlignment="1">
      <alignment wrapText="1"/>
    </xf>
    <xf numFmtId="0" fontId="14" fillId="10" borderId="24" xfId="0" applyFont="1" applyFill="1" applyBorder="1" applyAlignment="1">
      <alignment horizontal="justify" vertical="center" wrapText="1"/>
    </xf>
    <xf numFmtId="0" fontId="11" fillId="0" borderId="25" xfId="0" applyFont="1" applyBorder="1" applyAlignment="1">
      <alignment horizontal="center" vertical="center" wrapText="1"/>
    </xf>
    <xf numFmtId="0" fontId="14" fillId="10" borderId="1" xfId="0" applyFont="1" applyFill="1" applyBorder="1" applyAlignment="1">
      <alignment horizontal="justify" vertical="center" wrapText="1"/>
    </xf>
    <xf numFmtId="0" fontId="11" fillId="0" borderId="1" xfId="0" applyFont="1" applyBorder="1" applyAlignment="1">
      <alignment horizontal="center" vertical="center" wrapText="1"/>
    </xf>
    <xf numFmtId="0" fontId="11" fillId="0" borderId="26" xfId="0" applyFont="1" applyBorder="1" applyAlignment="1">
      <alignment horizontal="center" vertical="center" wrapText="1"/>
    </xf>
    <xf numFmtId="0" fontId="11" fillId="0" borderId="1" xfId="0" applyFont="1" applyBorder="1" applyAlignment="1">
      <alignment wrapText="1"/>
    </xf>
    <xf numFmtId="0" fontId="11" fillId="0" borderId="1" xfId="0" applyFont="1" applyBorder="1" applyAlignment="1">
      <alignment vertical="center"/>
    </xf>
    <xf numFmtId="0" fontId="11" fillId="0" borderId="1" xfId="0" applyFont="1" applyBorder="1" applyAlignment="1">
      <alignment horizontal="center"/>
    </xf>
    <xf numFmtId="0" fontId="11" fillId="0" borderId="1" xfId="0" applyFont="1" applyBorder="1" applyAlignment="1">
      <alignment horizontal="left" wrapText="1"/>
    </xf>
    <xf numFmtId="0" fontId="11" fillId="0" borderId="1" xfId="0" applyFont="1" applyBorder="1"/>
    <xf numFmtId="0" fontId="2"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11" fillId="0" borderId="1" xfId="0" applyFont="1" applyBorder="1" applyAlignment="1">
      <alignment horizontal="left" vertical="center" wrapText="1"/>
    </xf>
    <xf numFmtId="0" fontId="2" fillId="0" borderId="1" xfId="0" applyFont="1" applyBorder="1" applyAlignment="1">
      <alignment wrapText="1"/>
    </xf>
    <xf numFmtId="0" fontId="2" fillId="0" borderId="1" xfId="0" applyFont="1" applyBorder="1" applyAlignment="1">
      <alignment horizontal="center" vertical="center"/>
    </xf>
    <xf numFmtId="0" fontId="11" fillId="0" borderId="1" xfId="0" applyFont="1" applyBorder="1" applyAlignment="1">
      <alignment horizontal="center" vertical="center"/>
    </xf>
    <xf numFmtId="0" fontId="11" fillId="0" borderId="1" xfId="1" applyFont="1" applyFill="1" applyBorder="1" applyAlignment="1">
      <alignment horizontal="left" vertical="center" wrapText="1"/>
    </xf>
    <xf numFmtId="49" fontId="2" fillId="0" borderId="1" xfId="0" applyNumberFormat="1" applyFont="1" applyBorder="1" applyAlignment="1">
      <alignment horizontal="left" vertical="center" wrapText="1"/>
    </xf>
    <xf numFmtId="49" fontId="2" fillId="0" borderId="1" xfId="1" applyNumberFormat="1" applyFont="1" applyFill="1" applyBorder="1" applyAlignment="1">
      <alignment horizontal="left" vertical="center" wrapText="1"/>
    </xf>
    <xf numFmtId="0" fontId="12" fillId="10" borderId="1" xfId="0" applyFont="1" applyFill="1" applyBorder="1" applyAlignment="1">
      <alignment horizontal="justify" vertical="center" wrapText="1"/>
    </xf>
    <xf numFmtId="0" fontId="11" fillId="0" borderId="1" xfId="2" applyFont="1" applyFill="1" applyBorder="1" applyAlignment="1">
      <alignment horizontal="left" vertical="center" wrapText="1"/>
    </xf>
    <xf numFmtId="0" fontId="12" fillId="0" borderId="1" xfId="0" applyFont="1" applyBorder="1" applyAlignment="1">
      <alignment horizontal="left" wrapText="1"/>
    </xf>
    <xf numFmtId="0" fontId="11" fillId="0" borderId="1" xfId="0" applyFont="1" applyBorder="1" applyAlignment="1">
      <alignment horizontal="left" vertical="center"/>
    </xf>
    <xf numFmtId="0" fontId="2" fillId="0" borderId="1" xfId="0" applyFont="1" applyBorder="1"/>
    <xf numFmtId="0" fontId="2" fillId="0" borderId="1" xfId="0" applyFont="1" applyBorder="1" applyAlignment="1">
      <alignment horizontal="left" wrapText="1"/>
    </xf>
    <xf numFmtId="0" fontId="2" fillId="0" borderId="1" xfId="0" applyFont="1" applyBorder="1" applyAlignment="1">
      <alignment horizontal="center"/>
    </xf>
    <xf numFmtId="0" fontId="11" fillId="0" borderId="1" xfId="0" applyFont="1" applyBorder="1" applyAlignment="1">
      <alignment horizontal="left" vertical="top" wrapText="1"/>
    </xf>
    <xf numFmtId="0" fontId="12" fillId="0" borderId="1" xfId="0" applyFont="1" applyBorder="1" applyAlignment="1">
      <alignment wrapText="1"/>
    </xf>
    <xf numFmtId="0" fontId="11" fillId="10" borderId="1" xfId="0" applyFont="1" applyFill="1" applyBorder="1" applyAlignment="1">
      <alignment horizontal="justify" vertical="center" wrapText="1"/>
    </xf>
    <xf numFmtId="0" fontId="11" fillId="0" borderId="27" xfId="0" applyFont="1" applyBorder="1" applyAlignment="1">
      <alignment horizontal="left" vertical="center" wrapText="1"/>
    </xf>
    <xf numFmtId="0" fontId="11" fillId="0" borderId="27" xfId="0" applyFont="1" applyBorder="1" applyAlignment="1">
      <alignment horizontal="left" wrapText="1"/>
    </xf>
    <xf numFmtId="0" fontId="13" fillId="0" borderId="1" xfId="0" applyFont="1" applyBorder="1" applyAlignment="1">
      <alignment horizontal="justify" vertical="center" wrapText="1"/>
    </xf>
    <xf numFmtId="49" fontId="11" fillId="0" borderId="1" xfId="1" applyNumberFormat="1" applyFont="1" applyFill="1" applyBorder="1" applyAlignment="1">
      <alignment horizontal="left" vertical="center" wrapText="1"/>
    </xf>
    <xf numFmtId="0" fontId="12" fillId="0" borderId="27" xfId="0" applyFont="1" applyBorder="1" applyAlignment="1">
      <alignment horizontal="left" vertical="center" wrapText="1"/>
    </xf>
    <xf numFmtId="0" fontId="14" fillId="10" borderId="27" xfId="0" applyFont="1" applyFill="1" applyBorder="1" applyAlignment="1">
      <alignment horizontal="left" vertical="center" wrapText="1"/>
    </xf>
    <xf numFmtId="0" fontId="11" fillId="0" borderId="25" xfId="0" applyFont="1" applyBorder="1" applyAlignment="1">
      <alignment horizontal="center"/>
    </xf>
    <xf numFmtId="0" fontId="11" fillId="10" borderId="24" xfId="0" applyFont="1" applyFill="1" applyBorder="1" applyAlignment="1">
      <alignment horizontal="justify" vertical="center" wrapText="1"/>
    </xf>
    <xf numFmtId="0" fontId="1" fillId="0" borderId="0" xfId="0" applyFont="1" applyAlignment="1">
      <alignment wrapText="1"/>
    </xf>
    <xf numFmtId="0" fontId="5" fillId="3" borderId="11" xfId="0" applyFont="1" applyFill="1" applyBorder="1" applyAlignment="1">
      <alignment horizontal="center" vertical="center"/>
    </xf>
    <xf numFmtId="0" fontId="5" fillId="3" borderId="12" xfId="0" applyFont="1" applyFill="1" applyBorder="1" applyAlignment="1">
      <alignment horizontal="center" vertical="center"/>
    </xf>
    <xf numFmtId="0" fontId="5" fillId="3" borderId="19" xfId="0" applyFont="1" applyFill="1" applyBorder="1" applyAlignment="1">
      <alignment horizontal="center" vertical="center"/>
    </xf>
    <xf numFmtId="0" fontId="6" fillId="5" borderId="13" xfId="0" applyFont="1" applyFill="1" applyBorder="1" applyAlignment="1">
      <alignment horizontal="right" vertical="center"/>
    </xf>
  </cellXfs>
  <cellStyles count="3">
    <cellStyle name="Good" xfId="2" builtinId="26"/>
    <cellStyle name="Neutral 2" xfId="1" xr:uid="{00000000-0005-0000-0000-000012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hydrographic-my.sharepoint.com/home/msa/&#26700;&#38754;/Users/thomas.richardson/AppData/Local/Microsoft/Windows/INetCache/Content.Outlook/082HU1HA/S101_ValidationChecks_v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s"/>
      <sheetName val="v1"/>
      <sheetName val="Clean"/>
      <sheetName val="Sheet1"/>
    </sheetNames>
    <sheetDataSet>
      <sheetData sheetId="0"/>
      <sheetData sheetId="1"/>
      <sheetData sheetId="2"/>
      <sheetData sheetId="3"/>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H20"/>
  <sheetViews>
    <sheetView workbookViewId="0">
      <selection activeCell="C10" sqref="C10"/>
    </sheetView>
  </sheetViews>
  <sheetFormatPr defaultColWidth="9" defaultRowHeight="15"/>
  <cols>
    <col min="1" max="1" width="4.85546875" customWidth="1"/>
    <col min="2" max="2" width="20.85546875" style="10" customWidth="1"/>
    <col min="3" max="3" width="36.42578125" style="11" customWidth="1"/>
    <col min="4" max="4" width="12.42578125" customWidth="1"/>
    <col min="5" max="6" width="14.7109375" customWidth="1"/>
    <col min="7" max="7" width="6.42578125" customWidth="1"/>
  </cols>
  <sheetData>
    <row r="2" spans="2:8" ht="33.6" customHeight="1">
      <c r="B2" s="122" t="s">
        <v>36</v>
      </c>
      <c r="C2" s="123"/>
      <c r="D2" s="123"/>
      <c r="E2" s="123"/>
      <c r="F2" s="123"/>
      <c r="G2" s="124"/>
      <c r="H2" s="33"/>
    </row>
    <row r="3" spans="2:8" s="9" customFormat="1" ht="20.45" customHeight="1">
      <c r="B3" s="12" t="s">
        <v>0</v>
      </c>
      <c r="C3" s="13" t="s">
        <v>29</v>
      </c>
      <c r="D3" s="14"/>
      <c r="E3" s="14"/>
      <c r="F3" s="14"/>
      <c r="G3" s="34"/>
    </row>
    <row r="4" spans="2:8" s="9" customFormat="1" ht="20.45" customHeight="1">
      <c r="B4" s="12" t="s">
        <v>1</v>
      </c>
      <c r="C4" s="56" t="s">
        <v>30</v>
      </c>
      <c r="D4" s="14"/>
      <c r="E4" s="14"/>
      <c r="F4" s="14"/>
      <c r="G4" s="34"/>
    </row>
    <row r="5" spans="2:8" s="9" customFormat="1" ht="20.45" customHeight="1">
      <c r="B5" s="12" t="s">
        <v>2</v>
      </c>
      <c r="C5" s="13" t="s">
        <v>3</v>
      </c>
      <c r="D5" s="14"/>
      <c r="E5" s="14"/>
      <c r="F5" s="14"/>
      <c r="G5" s="34"/>
    </row>
    <row r="6" spans="2:8" s="9" customFormat="1" ht="20.45" customHeight="1">
      <c r="B6" s="12" t="s">
        <v>4</v>
      </c>
      <c r="C6" s="15" t="s">
        <v>25</v>
      </c>
      <c r="D6" s="14"/>
      <c r="E6" s="14"/>
      <c r="F6" s="14"/>
      <c r="G6" s="34"/>
    </row>
    <row r="7" spans="2:8" s="9" customFormat="1" ht="20.45" customHeight="1">
      <c r="B7" s="12" t="s">
        <v>5</v>
      </c>
      <c r="C7" s="40" t="s">
        <v>31</v>
      </c>
      <c r="D7" s="14"/>
      <c r="E7" s="14"/>
      <c r="F7" s="14"/>
      <c r="G7" s="34"/>
    </row>
    <row r="8" spans="2:8" s="9" customFormat="1" ht="20.45" customHeight="1">
      <c r="B8" s="12" t="s">
        <v>6</v>
      </c>
      <c r="C8" s="16">
        <v>46038</v>
      </c>
      <c r="D8" s="14"/>
      <c r="E8" s="14"/>
      <c r="F8" s="14"/>
      <c r="G8" s="34"/>
    </row>
    <row r="9" spans="2:8" s="9" customFormat="1" ht="20.45" customHeight="1">
      <c r="B9" s="12" t="s">
        <v>7</v>
      </c>
      <c r="C9" s="17">
        <v>46023</v>
      </c>
      <c r="D9" s="14"/>
      <c r="E9" s="14"/>
      <c r="F9" s="14"/>
      <c r="G9" s="34"/>
    </row>
    <row r="10" spans="2:8" s="9" customFormat="1" ht="20.45" customHeight="1">
      <c r="B10" s="12" t="s">
        <v>8</v>
      </c>
      <c r="C10" s="18" t="s">
        <v>9</v>
      </c>
      <c r="D10" s="14"/>
      <c r="E10" s="14"/>
      <c r="F10" s="14"/>
      <c r="G10" s="34"/>
    </row>
    <row r="11" spans="2:8" s="9" customFormat="1" ht="20.45" customHeight="1">
      <c r="B11" s="12" t="s">
        <v>10</v>
      </c>
      <c r="C11" s="15" t="s">
        <v>32</v>
      </c>
      <c r="D11" s="14"/>
      <c r="E11" s="14"/>
      <c r="F11" s="14"/>
      <c r="G11" s="34"/>
    </row>
    <row r="12" spans="2:8" s="9" customFormat="1" ht="15" customHeight="1">
      <c r="B12" s="19"/>
      <c r="C12" s="20" t="s">
        <v>1</v>
      </c>
      <c r="D12" s="21" t="s">
        <v>11</v>
      </c>
      <c r="E12" s="35" t="s">
        <v>12</v>
      </c>
      <c r="F12" s="35"/>
      <c r="G12" s="34"/>
    </row>
    <row r="13" spans="2:8" s="9" customFormat="1" ht="20.45" customHeight="1">
      <c r="B13" s="125" t="s">
        <v>13</v>
      </c>
      <c r="C13" s="13" t="s">
        <v>33</v>
      </c>
      <c r="D13" s="41" t="s">
        <v>26</v>
      </c>
      <c r="E13" s="22"/>
      <c r="F13" s="36"/>
      <c r="G13" s="34"/>
    </row>
    <row r="14" spans="2:8" s="9" customFormat="1" ht="20.45" customHeight="1">
      <c r="B14" s="125"/>
      <c r="C14" s="23" t="s">
        <v>34</v>
      </c>
      <c r="D14" s="41" t="s">
        <v>26</v>
      </c>
      <c r="E14" s="37"/>
      <c r="F14" s="38"/>
      <c r="G14" s="34"/>
    </row>
    <row r="15" spans="2:8" s="9" customFormat="1" ht="20.45" customHeight="1">
      <c r="B15" s="125"/>
      <c r="C15" s="24" t="s">
        <v>35</v>
      </c>
      <c r="D15" s="41" t="s">
        <v>26</v>
      </c>
      <c r="E15" s="36"/>
      <c r="F15" s="37"/>
      <c r="G15" s="34"/>
    </row>
    <row r="16" spans="2:8" s="9" customFormat="1" ht="20.45" customHeight="1">
      <c r="B16" s="125"/>
      <c r="C16" s="57" t="s">
        <v>27</v>
      </c>
      <c r="D16" s="58" t="s">
        <v>28</v>
      </c>
      <c r="E16" s="26"/>
      <c r="F16" s="26"/>
      <c r="G16" s="34"/>
    </row>
    <row r="17" spans="2:7" s="9" customFormat="1" ht="20.45" customHeight="1">
      <c r="B17" s="125"/>
      <c r="C17" s="25"/>
      <c r="D17" s="26"/>
      <c r="E17" s="26"/>
      <c r="F17" s="26"/>
      <c r="G17" s="34"/>
    </row>
    <row r="18" spans="2:7" s="9" customFormat="1" ht="20.45" customHeight="1">
      <c r="B18" s="125"/>
      <c r="C18" s="27"/>
      <c r="D18" s="14"/>
      <c r="E18" s="14"/>
      <c r="F18" s="14"/>
      <c r="G18" s="34"/>
    </row>
    <row r="19" spans="2:7" s="9" customFormat="1" ht="20.45" customHeight="1">
      <c r="B19" s="28"/>
      <c r="C19" s="29"/>
      <c r="D19" s="30"/>
      <c r="E19" s="30"/>
      <c r="F19" s="30"/>
      <c r="G19" s="39"/>
    </row>
    <row r="20" spans="2:7" s="9" customFormat="1" ht="20.45" customHeight="1">
      <c r="B20" s="31"/>
      <c r="C20" s="32"/>
    </row>
  </sheetData>
  <mergeCells count="2">
    <mergeCell ref="B2:G2"/>
    <mergeCell ref="B13:B18"/>
  </mergeCells>
  <dataValidations count="1">
    <dataValidation type="list" allowBlank="1" showInputMessage="1" showErrorMessage="1" sqref="C6" xr:uid="{00000000-0002-0000-0000-000000000000}">
      <formula1>"Working, Draft, Proposal, In force"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O138"/>
  <sheetViews>
    <sheetView tabSelected="1" zoomScaleNormal="100" workbookViewId="0">
      <pane ySplit="1" topLeftCell="A87" activePane="bottomLeft" state="frozen"/>
      <selection pane="bottomLeft" activeCell="D101" sqref="D101"/>
    </sheetView>
  </sheetViews>
  <sheetFormatPr defaultColWidth="8.7109375" defaultRowHeight="13.5" thickBottom="1"/>
  <cols>
    <col min="1" max="1" width="13" style="109" customWidth="1"/>
    <col min="2" max="2" width="11.28515625" style="98" customWidth="1"/>
    <col min="3" max="3" width="12.7109375" style="109" customWidth="1"/>
    <col min="4" max="4" width="42.28515625" style="97" customWidth="1"/>
    <col min="5" max="5" width="58.85546875" style="97" customWidth="1"/>
    <col min="6" max="6" width="34.7109375" style="97" customWidth="1"/>
    <col min="7" max="7" width="18.140625" style="106" customWidth="1"/>
    <col min="8" max="8" width="16.28515625" style="90" customWidth="1"/>
    <col min="9" max="9" width="10.42578125" style="107" customWidth="1"/>
    <col min="10" max="10" width="8.28515625" style="107" customWidth="1"/>
    <col min="11" max="11" width="8" style="107" customWidth="1"/>
    <col min="12" max="12" width="9.42578125" style="97" customWidth="1"/>
    <col min="13" max="13" width="25.85546875" style="97" customWidth="1"/>
    <col min="14" max="16384" width="8.7109375" style="1"/>
  </cols>
  <sheetData>
    <row r="1" spans="1:15" ht="26.25" thickBot="1">
      <c r="A1" s="93" t="s">
        <v>14</v>
      </c>
      <c r="B1" s="93" t="s">
        <v>15</v>
      </c>
      <c r="C1" s="93" t="s">
        <v>16</v>
      </c>
      <c r="D1" s="93" t="s">
        <v>17</v>
      </c>
      <c r="E1" s="93" t="s">
        <v>18</v>
      </c>
      <c r="F1" s="93" t="s">
        <v>19</v>
      </c>
      <c r="G1" s="81" t="s">
        <v>20</v>
      </c>
      <c r="H1" s="55" t="s">
        <v>21</v>
      </c>
      <c r="I1" s="7" t="s">
        <v>22</v>
      </c>
      <c r="J1" s="7" t="s">
        <v>23</v>
      </c>
      <c r="K1" s="7" t="s">
        <v>24</v>
      </c>
      <c r="L1" s="71" t="s">
        <v>224</v>
      </c>
      <c r="M1" s="71" t="s">
        <v>225</v>
      </c>
    </row>
    <row r="2" spans="1:15" ht="26.25" thickBot="1">
      <c r="A2" s="94" t="s">
        <v>226</v>
      </c>
      <c r="B2" s="94" t="str">
        <f>_xlfn.CONCAT("127_", TEXT(ROW()-1, "0000"))</f>
        <v>127_0001</v>
      </c>
      <c r="C2" s="94" t="s">
        <v>310</v>
      </c>
      <c r="D2" s="95" t="s">
        <v>94</v>
      </c>
      <c r="E2" s="95" t="s">
        <v>37</v>
      </c>
      <c r="F2" s="95" t="s">
        <v>155</v>
      </c>
      <c r="G2" s="96" t="s">
        <v>306</v>
      </c>
      <c r="H2" s="86">
        <v>7.3</v>
      </c>
      <c r="I2" s="88" t="s">
        <v>31</v>
      </c>
      <c r="L2" s="88" t="s">
        <v>220</v>
      </c>
      <c r="M2" s="88"/>
      <c r="N2" s="2"/>
      <c r="O2" s="2"/>
    </row>
    <row r="3" spans="1:15" ht="26.25" hidden="1" thickBot="1">
      <c r="A3" s="94" t="s">
        <v>227</v>
      </c>
      <c r="B3" s="94" t="str">
        <f>_xlfn.CONCAT("127_", TEXT(ROW()-1, "0000"))</f>
        <v>127_0002</v>
      </c>
      <c r="C3" s="94" t="s">
        <v>310</v>
      </c>
      <c r="D3" s="96" t="s">
        <v>95</v>
      </c>
      <c r="E3" s="96" t="s">
        <v>442</v>
      </c>
      <c r="F3" s="96" t="s">
        <v>443</v>
      </c>
      <c r="G3" s="96" t="s">
        <v>306</v>
      </c>
      <c r="H3" s="86">
        <v>9.8000000000000007</v>
      </c>
      <c r="I3" s="97" t="s">
        <v>31</v>
      </c>
      <c r="K3" s="107" t="s">
        <v>298</v>
      </c>
      <c r="L3" s="88" t="s">
        <v>220</v>
      </c>
      <c r="M3" s="88" t="s">
        <v>299</v>
      </c>
    </row>
    <row r="4" spans="1:15" ht="26.25" thickBot="1">
      <c r="A4" s="94" t="s">
        <v>228</v>
      </c>
      <c r="B4" s="94" t="str">
        <f t="shared" ref="B4:B67" si="0">_xlfn.CONCAT("127_", TEXT(ROW()-1, "0000"))</f>
        <v>127_0003</v>
      </c>
      <c r="C4" s="98" t="s">
        <v>310</v>
      </c>
      <c r="D4" s="96" t="s">
        <v>309</v>
      </c>
      <c r="E4" s="96" t="s">
        <v>435</v>
      </c>
      <c r="F4" s="96" t="s">
        <v>436</v>
      </c>
      <c r="G4" s="96" t="s">
        <v>306</v>
      </c>
      <c r="H4" s="86">
        <v>12.8</v>
      </c>
      <c r="I4" s="97" t="s">
        <v>31</v>
      </c>
      <c r="L4" s="88" t="s">
        <v>221</v>
      </c>
      <c r="M4" s="88"/>
    </row>
    <row r="5" spans="1:15" ht="39" thickBot="1">
      <c r="A5" s="94" t="s">
        <v>229</v>
      </c>
      <c r="B5" s="94" t="str">
        <f t="shared" si="0"/>
        <v>127_0004</v>
      </c>
      <c r="C5" s="98" t="s">
        <v>312</v>
      </c>
      <c r="D5" s="96" t="s">
        <v>311</v>
      </c>
      <c r="E5" s="96" t="s">
        <v>38</v>
      </c>
      <c r="F5" s="96" t="s">
        <v>156</v>
      </c>
      <c r="G5" s="96" t="s">
        <v>307</v>
      </c>
      <c r="H5" s="86">
        <v>4.2</v>
      </c>
      <c r="I5" s="97" t="s">
        <v>31</v>
      </c>
      <c r="L5" s="88" t="s">
        <v>220</v>
      </c>
      <c r="M5" s="88"/>
    </row>
    <row r="6" spans="1:15" ht="39" hidden="1" thickBot="1">
      <c r="A6" s="94" t="s">
        <v>230</v>
      </c>
      <c r="B6" s="94" t="str">
        <f t="shared" si="0"/>
        <v>127_0005</v>
      </c>
      <c r="C6" s="98" t="s">
        <v>310</v>
      </c>
      <c r="D6" s="96" t="s">
        <v>96</v>
      </c>
      <c r="E6" s="96" t="s">
        <v>39</v>
      </c>
      <c r="F6" s="96" t="s">
        <v>157</v>
      </c>
      <c r="G6" s="96" t="s">
        <v>306</v>
      </c>
      <c r="H6" s="86">
        <v>10.5</v>
      </c>
      <c r="I6" s="97" t="s">
        <v>31</v>
      </c>
      <c r="J6" s="92"/>
      <c r="K6" s="92" t="s">
        <v>298</v>
      </c>
      <c r="L6" s="88" t="s">
        <v>222</v>
      </c>
      <c r="M6" s="88" t="s">
        <v>299</v>
      </c>
    </row>
    <row r="7" spans="1:15" s="49" customFormat="1" ht="39" thickBot="1">
      <c r="A7" s="94" t="s">
        <v>231</v>
      </c>
      <c r="B7" s="94" t="str">
        <f t="shared" si="0"/>
        <v>127_0006</v>
      </c>
      <c r="C7" s="99" t="s">
        <v>313</v>
      </c>
      <c r="D7" s="100" t="s">
        <v>356</v>
      </c>
      <c r="E7" s="100" t="s">
        <v>40</v>
      </c>
      <c r="F7" s="100" t="s">
        <v>158</v>
      </c>
      <c r="G7" s="96" t="s">
        <v>306</v>
      </c>
      <c r="H7" s="86">
        <v>12.4</v>
      </c>
      <c r="I7" s="88" t="s">
        <v>31</v>
      </c>
      <c r="J7" s="88"/>
      <c r="K7" s="88"/>
      <c r="L7" s="88" t="s">
        <v>222</v>
      </c>
      <c r="M7" s="88"/>
    </row>
    <row r="8" spans="1:15" s="49" customFormat="1" ht="26.25" thickBot="1">
      <c r="A8" s="94" t="s">
        <v>232</v>
      </c>
      <c r="B8" s="94" t="str">
        <f t="shared" si="0"/>
        <v>127_0007</v>
      </c>
      <c r="C8" s="99" t="s">
        <v>313</v>
      </c>
      <c r="D8" s="100" t="s">
        <v>97</v>
      </c>
      <c r="E8" s="100" t="s">
        <v>41</v>
      </c>
      <c r="F8" s="100" t="s">
        <v>159</v>
      </c>
      <c r="G8" s="96" t="s">
        <v>308</v>
      </c>
      <c r="H8" s="86" t="s">
        <v>314</v>
      </c>
      <c r="I8" s="88" t="s">
        <v>31</v>
      </c>
      <c r="J8" s="88"/>
      <c r="K8" s="88"/>
      <c r="L8" s="88" t="s">
        <v>220</v>
      </c>
      <c r="M8" s="88"/>
    </row>
    <row r="9" spans="1:15" ht="39" hidden="1" thickBot="1">
      <c r="A9" s="94" t="s">
        <v>233</v>
      </c>
      <c r="B9" s="94" t="str">
        <f t="shared" si="0"/>
        <v>127_0008</v>
      </c>
      <c r="C9" s="98" t="s">
        <v>310</v>
      </c>
      <c r="D9" s="95" t="s">
        <v>98</v>
      </c>
      <c r="E9" s="95" t="s">
        <v>42</v>
      </c>
      <c r="F9" s="95" t="s">
        <v>160</v>
      </c>
      <c r="G9" s="96" t="s">
        <v>219</v>
      </c>
      <c r="H9" s="86"/>
      <c r="I9" s="97" t="s">
        <v>31</v>
      </c>
      <c r="J9" s="97"/>
      <c r="K9" s="92" t="s">
        <v>298</v>
      </c>
      <c r="L9" s="88" t="s">
        <v>222</v>
      </c>
      <c r="M9" s="88" t="s">
        <v>299</v>
      </c>
    </row>
    <row r="10" spans="1:15" ht="26.25" hidden="1" thickBot="1">
      <c r="A10" s="94" t="s">
        <v>234</v>
      </c>
      <c r="B10" s="94" t="str">
        <f t="shared" si="0"/>
        <v>127_0009</v>
      </c>
      <c r="C10" s="98" t="s">
        <v>310</v>
      </c>
      <c r="D10" s="95" t="s">
        <v>99</v>
      </c>
      <c r="E10" s="95" t="s">
        <v>43</v>
      </c>
      <c r="F10" s="95" t="s">
        <v>161</v>
      </c>
      <c r="G10" s="96" t="s">
        <v>219</v>
      </c>
      <c r="H10" s="86"/>
      <c r="I10" s="97" t="s">
        <v>31</v>
      </c>
      <c r="J10" s="97"/>
      <c r="K10" s="92" t="s">
        <v>298</v>
      </c>
      <c r="L10" s="88" t="s">
        <v>222</v>
      </c>
      <c r="M10" s="97" t="s">
        <v>299</v>
      </c>
    </row>
    <row r="11" spans="1:15" ht="26.25" hidden="1" thickBot="1">
      <c r="A11" s="94" t="s">
        <v>235</v>
      </c>
      <c r="B11" s="94" t="str">
        <f t="shared" si="0"/>
        <v>127_0010</v>
      </c>
      <c r="C11" s="98" t="s">
        <v>310</v>
      </c>
      <c r="D11" s="96" t="s">
        <v>100</v>
      </c>
      <c r="E11" s="95" t="s">
        <v>44</v>
      </c>
      <c r="F11" s="96" t="s">
        <v>162</v>
      </c>
      <c r="G11" s="96" t="s">
        <v>219</v>
      </c>
      <c r="H11" s="86"/>
      <c r="I11" s="88" t="s">
        <v>31</v>
      </c>
      <c r="J11" s="97"/>
      <c r="K11" s="92" t="s">
        <v>298</v>
      </c>
      <c r="L11" s="88" t="s">
        <v>222</v>
      </c>
      <c r="M11" s="88" t="s">
        <v>299</v>
      </c>
    </row>
    <row r="12" spans="1:15" ht="26.25" hidden="1" thickBot="1">
      <c r="A12" s="94" t="s">
        <v>236</v>
      </c>
      <c r="B12" s="94" t="str">
        <f t="shared" si="0"/>
        <v>127_0011</v>
      </c>
      <c r="C12" s="94" t="s">
        <v>310</v>
      </c>
      <c r="D12" s="101" t="s">
        <v>101</v>
      </c>
      <c r="E12" s="101" t="s">
        <v>45</v>
      </c>
      <c r="F12" s="101" t="s">
        <v>163</v>
      </c>
      <c r="G12" s="96" t="s">
        <v>219</v>
      </c>
      <c r="H12" s="86"/>
      <c r="I12" s="97" t="s">
        <v>31</v>
      </c>
      <c r="J12" s="97"/>
      <c r="K12" s="92" t="s">
        <v>298</v>
      </c>
      <c r="L12" s="88" t="s">
        <v>222</v>
      </c>
      <c r="M12" s="88" t="s">
        <v>299</v>
      </c>
    </row>
    <row r="13" spans="1:15" s="49" customFormat="1" ht="26.25" hidden="1" thickBot="1">
      <c r="A13" s="94" t="s">
        <v>237</v>
      </c>
      <c r="B13" s="94" t="str">
        <f t="shared" si="0"/>
        <v>127_0012</v>
      </c>
      <c r="C13" s="99" t="s">
        <v>310</v>
      </c>
      <c r="D13" s="96" t="s">
        <v>102</v>
      </c>
      <c r="E13" s="96" t="s">
        <v>46</v>
      </c>
      <c r="F13" s="96" t="s">
        <v>164</v>
      </c>
      <c r="G13" s="96" t="s">
        <v>219</v>
      </c>
      <c r="H13" s="86"/>
      <c r="I13" s="88" t="s">
        <v>31</v>
      </c>
      <c r="J13" s="88"/>
      <c r="K13" s="92" t="s">
        <v>298</v>
      </c>
      <c r="L13" s="88" t="s">
        <v>221</v>
      </c>
      <c r="M13" s="88" t="s">
        <v>299</v>
      </c>
    </row>
    <row r="14" spans="1:15" s="49" customFormat="1" ht="26.25" hidden="1" thickBot="1">
      <c r="A14" s="94" t="s">
        <v>238</v>
      </c>
      <c r="B14" s="94" t="str">
        <f t="shared" si="0"/>
        <v>127_0013</v>
      </c>
      <c r="C14" s="99" t="s">
        <v>310</v>
      </c>
      <c r="D14" s="96" t="s">
        <v>103</v>
      </c>
      <c r="E14" s="96" t="s">
        <v>47</v>
      </c>
      <c r="F14" s="96" t="s">
        <v>165</v>
      </c>
      <c r="G14" s="96" t="s">
        <v>219</v>
      </c>
      <c r="H14" s="86"/>
      <c r="I14" s="88" t="s">
        <v>31</v>
      </c>
      <c r="J14" s="88"/>
      <c r="K14" s="92" t="s">
        <v>298</v>
      </c>
      <c r="L14" s="88" t="s">
        <v>221</v>
      </c>
      <c r="M14" s="88" t="s">
        <v>299</v>
      </c>
    </row>
    <row r="15" spans="1:15" ht="26.25" hidden="1" thickBot="1">
      <c r="A15" s="94" t="s">
        <v>239</v>
      </c>
      <c r="B15" s="94" t="str">
        <f t="shared" si="0"/>
        <v>127_0014</v>
      </c>
      <c r="C15" s="94" t="s">
        <v>310</v>
      </c>
      <c r="D15" s="102" t="s">
        <v>104</v>
      </c>
      <c r="E15" s="116" t="s">
        <v>437</v>
      </c>
      <c r="F15" s="102" t="s">
        <v>166</v>
      </c>
      <c r="G15" s="96" t="s">
        <v>306</v>
      </c>
      <c r="H15" s="86" t="s">
        <v>305</v>
      </c>
      <c r="I15" s="97" t="s">
        <v>31</v>
      </c>
      <c r="J15" s="97"/>
      <c r="K15" s="92" t="s">
        <v>298</v>
      </c>
      <c r="L15" s="88" t="s">
        <v>222</v>
      </c>
      <c r="M15" s="88" t="s">
        <v>299</v>
      </c>
    </row>
    <row r="16" spans="1:15" s="49" customFormat="1" ht="39" thickBot="1">
      <c r="A16" s="94" t="s">
        <v>240</v>
      </c>
      <c r="B16" s="94" t="str">
        <f t="shared" si="0"/>
        <v>127_0015</v>
      </c>
      <c r="C16" s="86" t="s">
        <v>310</v>
      </c>
      <c r="D16" s="103" t="s">
        <v>315</v>
      </c>
      <c r="E16" s="96" t="s">
        <v>438</v>
      </c>
      <c r="F16" s="104" t="s">
        <v>167</v>
      </c>
      <c r="G16" s="96" t="s">
        <v>306</v>
      </c>
      <c r="H16" s="86">
        <v>12.5</v>
      </c>
      <c r="I16" s="88" t="s">
        <v>31</v>
      </c>
      <c r="J16" s="88" t="s">
        <v>298</v>
      </c>
      <c r="K16" s="88"/>
      <c r="L16" s="88" t="s">
        <v>222</v>
      </c>
      <c r="M16" s="82" t="s">
        <v>316</v>
      </c>
    </row>
    <row r="17" spans="1:13" ht="39" thickBot="1">
      <c r="A17" s="94" t="s">
        <v>241</v>
      </c>
      <c r="B17" s="94" t="str">
        <f t="shared" si="0"/>
        <v>127_0016</v>
      </c>
      <c r="C17" s="94" t="s">
        <v>310</v>
      </c>
      <c r="D17" s="103" t="s">
        <v>317</v>
      </c>
      <c r="E17" s="85" t="s">
        <v>319</v>
      </c>
      <c r="F17" s="102" t="s">
        <v>168</v>
      </c>
      <c r="G17" s="112" t="s">
        <v>307</v>
      </c>
      <c r="H17" s="86" t="s">
        <v>320</v>
      </c>
      <c r="I17" s="97" t="s">
        <v>31</v>
      </c>
      <c r="J17" s="88" t="s">
        <v>298</v>
      </c>
      <c r="K17" s="97"/>
      <c r="L17" s="88" t="s">
        <v>222</v>
      </c>
      <c r="M17" s="82" t="s">
        <v>322</v>
      </c>
    </row>
    <row r="18" spans="1:13" ht="39" thickBot="1">
      <c r="A18" s="94" t="s">
        <v>242</v>
      </c>
      <c r="B18" s="94" t="str">
        <f t="shared" si="0"/>
        <v>127_0017</v>
      </c>
      <c r="C18" s="94" t="s">
        <v>313</v>
      </c>
      <c r="D18" s="103" t="s">
        <v>318</v>
      </c>
      <c r="E18" s="95" t="s">
        <v>48</v>
      </c>
      <c r="F18" s="95" t="s">
        <v>169</v>
      </c>
      <c r="G18" s="112" t="s">
        <v>321</v>
      </c>
      <c r="H18" s="86"/>
      <c r="I18" s="97" t="s">
        <v>31</v>
      </c>
      <c r="J18" s="92" t="s">
        <v>298</v>
      </c>
      <c r="L18" s="88" t="s">
        <v>222</v>
      </c>
      <c r="M18" s="82" t="s">
        <v>323</v>
      </c>
    </row>
    <row r="19" spans="1:13" ht="39" thickBot="1">
      <c r="A19" s="94" t="s">
        <v>243</v>
      </c>
      <c r="B19" s="94" t="str">
        <f t="shared" si="0"/>
        <v>127_0018</v>
      </c>
      <c r="C19" s="98" t="s">
        <v>313</v>
      </c>
      <c r="D19" s="95" t="s">
        <v>105</v>
      </c>
      <c r="E19" s="95" t="s">
        <v>49</v>
      </c>
      <c r="F19" s="95" t="s">
        <v>170</v>
      </c>
      <c r="G19" s="112" t="s">
        <v>321</v>
      </c>
      <c r="H19" s="86"/>
      <c r="I19" s="97" t="s">
        <v>31</v>
      </c>
      <c r="L19" s="88" t="s">
        <v>222</v>
      </c>
      <c r="M19" s="82" t="s">
        <v>324</v>
      </c>
    </row>
    <row r="20" spans="1:13" ht="39" thickBot="1">
      <c r="A20" s="94" t="s">
        <v>244</v>
      </c>
      <c r="B20" s="94" t="str">
        <f t="shared" si="0"/>
        <v>127_0019</v>
      </c>
      <c r="C20" s="94" t="s">
        <v>313</v>
      </c>
      <c r="D20" s="96" t="s">
        <v>106</v>
      </c>
      <c r="E20" s="95" t="s">
        <v>50</v>
      </c>
      <c r="F20" s="95" t="s">
        <v>171</v>
      </c>
      <c r="G20" s="112" t="s">
        <v>306</v>
      </c>
      <c r="H20" s="86">
        <v>3</v>
      </c>
      <c r="I20" s="97" t="s">
        <v>31</v>
      </c>
      <c r="L20" s="88" t="s">
        <v>222</v>
      </c>
      <c r="M20" s="88"/>
    </row>
    <row r="21" spans="1:13" ht="39" thickBot="1">
      <c r="A21" s="94" t="s">
        <v>245</v>
      </c>
      <c r="B21" s="94" t="str">
        <f t="shared" si="0"/>
        <v>127_0020</v>
      </c>
      <c r="C21" s="94" t="s">
        <v>313</v>
      </c>
      <c r="D21" s="96" t="s">
        <v>107</v>
      </c>
      <c r="E21" s="95" t="s">
        <v>51</v>
      </c>
      <c r="F21" s="95" t="s">
        <v>172</v>
      </c>
      <c r="G21" s="112" t="s">
        <v>306</v>
      </c>
      <c r="H21" s="86">
        <v>3</v>
      </c>
      <c r="I21" s="97" t="s">
        <v>31</v>
      </c>
      <c r="L21" s="88" t="s">
        <v>222</v>
      </c>
      <c r="M21" s="88"/>
    </row>
    <row r="22" spans="1:13" ht="26.25" thickBot="1">
      <c r="A22" s="94" t="s">
        <v>246</v>
      </c>
      <c r="B22" s="94" t="str">
        <f t="shared" si="0"/>
        <v>127_0021</v>
      </c>
      <c r="C22" s="94" t="s">
        <v>312</v>
      </c>
      <c r="D22" s="103" t="s">
        <v>327</v>
      </c>
      <c r="E22" s="103" t="s">
        <v>326</v>
      </c>
      <c r="F22" s="117" t="s">
        <v>444</v>
      </c>
      <c r="G22" s="96" t="s">
        <v>306</v>
      </c>
      <c r="H22" s="86" t="s">
        <v>401</v>
      </c>
      <c r="I22" s="97" t="s">
        <v>31</v>
      </c>
      <c r="L22" s="88" t="s">
        <v>222</v>
      </c>
      <c r="M22" s="82" t="s">
        <v>325</v>
      </c>
    </row>
    <row r="23" spans="1:13" ht="26.25" hidden="1" thickBot="1">
      <c r="A23" s="94" t="s">
        <v>247</v>
      </c>
      <c r="B23" s="94" t="str">
        <f t="shared" si="0"/>
        <v>127_0022</v>
      </c>
      <c r="C23" s="99" t="s">
        <v>310</v>
      </c>
      <c r="D23" s="95" t="s">
        <v>108</v>
      </c>
      <c r="E23" s="95" t="s">
        <v>52</v>
      </c>
      <c r="F23" s="95" t="s">
        <v>173</v>
      </c>
      <c r="G23" s="96" t="s">
        <v>306</v>
      </c>
      <c r="H23" s="87" t="s">
        <v>445</v>
      </c>
      <c r="I23" s="97" t="s">
        <v>31</v>
      </c>
      <c r="K23" s="92" t="s">
        <v>298</v>
      </c>
      <c r="L23" s="110" t="s">
        <v>222</v>
      </c>
      <c r="M23" s="88"/>
    </row>
    <row r="24" spans="1:13" ht="26.25" thickBot="1">
      <c r="A24" s="94" t="s">
        <v>248</v>
      </c>
      <c r="B24" s="94" t="str">
        <f t="shared" si="0"/>
        <v>127_0023</v>
      </c>
      <c r="C24" s="98" t="s">
        <v>310</v>
      </c>
      <c r="D24" s="95" t="s">
        <v>109</v>
      </c>
      <c r="E24" s="96" t="s">
        <v>439</v>
      </c>
      <c r="F24" s="95" t="s">
        <v>174</v>
      </c>
      <c r="G24" s="112" t="s">
        <v>308</v>
      </c>
      <c r="H24" s="86" t="s">
        <v>357</v>
      </c>
      <c r="I24" s="97" t="s">
        <v>31</v>
      </c>
      <c r="L24" s="88" t="s">
        <v>220</v>
      </c>
      <c r="M24" s="88"/>
    </row>
    <row r="25" spans="1:13" ht="26.25" hidden="1" thickBot="1">
      <c r="A25" s="94" t="s">
        <v>249</v>
      </c>
      <c r="B25" s="94" t="str">
        <f t="shared" si="0"/>
        <v>127_0024</v>
      </c>
      <c r="C25" s="98" t="s">
        <v>312</v>
      </c>
      <c r="D25" s="95" t="s">
        <v>110</v>
      </c>
      <c r="E25" s="96" t="s">
        <v>53</v>
      </c>
      <c r="F25" s="95" t="s">
        <v>175</v>
      </c>
      <c r="G25" s="96" t="s">
        <v>219</v>
      </c>
      <c r="H25" s="86"/>
      <c r="I25" s="97" t="s">
        <v>31</v>
      </c>
      <c r="K25" s="92" t="s">
        <v>298</v>
      </c>
      <c r="L25" s="88" t="s">
        <v>222</v>
      </c>
      <c r="M25" s="88" t="s">
        <v>299</v>
      </c>
    </row>
    <row r="26" spans="1:13" ht="26.25" hidden="1" thickBot="1">
      <c r="A26" s="94" t="s">
        <v>250</v>
      </c>
      <c r="B26" s="94" t="str">
        <f t="shared" si="0"/>
        <v>127_0025</v>
      </c>
      <c r="C26" s="98" t="s">
        <v>312</v>
      </c>
      <c r="D26" s="96" t="s">
        <v>111</v>
      </c>
      <c r="E26" s="96" t="s">
        <v>54</v>
      </c>
      <c r="F26" s="95" t="s">
        <v>176</v>
      </c>
      <c r="G26" s="96" t="s">
        <v>219</v>
      </c>
      <c r="H26" s="86"/>
      <c r="I26" s="97" t="s">
        <v>31</v>
      </c>
      <c r="K26" s="92" t="s">
        <v>298</v>
      </c>
      <c r="L26" s="88" t="s">
        <v>222</v>
      </c>
      <c r="M26" s="88" t="s">
        <v>299</v>
      </c>
    </row>
    <row r="27" spans="1:13" ht="39" hidden="1" thickBot="1">
      <c r="A27" s="94" t="s">
        <v>251</v>
      </c>
      <c r="B27" s="94" t="str">
        <f t="shared" si="0"/>
        <v>127_0026</v>
      </c>
      <c r="C27" s="98" t="s">
        <v>310</v>
      </c>
      <c r="D27" s="96" t="s">
        <v>112</v>
      </c>
      <c r="E27" s="96" t="s">
        <v>55</v>
      </c>
      <c r="F27" s="95" t="s">
        <v>177</v>
      </c>
      <c r="G27" s="96" t="s">
        <v>219</v>
      </c>
      <c r="H27" s="86"/>
      <c r="I27" s="97" t="s">
        <v>31</v>
      </c>
      <c r="J27" s="92"/>
      <c r="K27" s="92" t="s">
        <v>298</v>
      </c>
      <c r="L27" s="88" t="s">
        <v>222</v>
      </c>
      <c r="M27" s="88" t="s">
        <v>299</v>
      </c>
    </row>
    <row r="28" spans="1:13" ht="26.25" thickBot="1">
      <c r="A28" s="94" t="s">
        <v>252</v>
      </c>
      <c r="B28" s="94" t="str">
        <f t="shared" si="0"/>
        <v>127_0027</v>
      </c>
      <c r="C28" s="94" t="s">
        <v>313</v>
      </c>
      <c r="D28" s="96" t="s">
        <v>113</v>
      </c>
      <c r="E28" s="95" t="s">
        <v>56</v>
      </c>
      <c r="F28" s="95" t="s">
        <v>178</v>
      </c>
      <c r="G28" s="96" t="s">
        <v>306</v>
      </c>
      <c r="H28" s="86">
        <v>12.9</v>
      </c>
      <c r="I28" s="97" t="s">
        <v>31</v>
      </c>
      <c r="J28" s="92"/>
      <c r="L28" s="88" t="s">
        <v>220</v>
      </c>
      <c r="M28" s="88"/>
    </row>
    <row r="29" spans="1:13" thickBot="1">
      <c r="A29" s="94" t="s">
        <v>253</v>
      </c>
      <c r="B29" s="94" t="str">
        <f t="shared" si="0"/>
        <v>127_0028</v>
      </c>
      <c r="C29" s="99" t="s">
        <v>313</v>
      </c>
      <c r="D29" s="96" t="s">
        <v>114</v>
      </c>
      <c r="E29" s="96" t="s">
        <v>57</v>
      </c>
      <c r="F29" s="95" t="s">
        <v>179</v>
      </c>
      <c r="G29" s="96" t="s">
        <v>306</v>
      </c>
      <c r="H29" s="86">
        <v>12.1</v>
      </c>
      <c r="I29" s="97" t="s">
        <v>31</v>
      </c>
      <c r="J29" s="92" t="s">
        <v>298</v>
      </c>
      <c r="L29" s="88" t="s">
        <v>222</v>
      </c>
      <c r="M29" s="82" t="s">
        <v>328</v>
      </c>
    </row>
    <row r="30" spans="1:13" s="49" customFormat="1" ht="26.25" hidden="1" thickBot="1">
      <c r="A30" s="94" t="s">
        <v>254</v>
      </c>
      <c r="B30" s="94" t="str">
        <f t="shared" si="0"/>
        <v>127_0029</v>
      </c>
      <c r="C30" s="86" t="s">
        <v>310</v>
      </c>
      <c r="D30" s="96" t="s">
        <v>115</v>
      </c>
      <c r="E30" s="96" t="s">
        <v>58</v>
      </c>
      <c r="F30" s="96" t="s">
        <v>180</v>
      </c>
      <c r="G30" s="96" t="s">
        <v>219</v>
      </c>
      <c r="H30" s="86"/>
      <c r="I30" s="88" t="s">
        <v>31</v>
      </c>
      <c r="J30" s="92"/>
      <c r="K30" s="92" t="s">
        <v>298</v>
      </c>
      <c r="L30" s="88" t="s">
        <v>222</v>
      </c>
      <c r="M30" s="82" t="s">
        <v>333</v>
      </c>
    </row>
    <row r="31" spans="1:13" s="49" customFormat="1" ht="39" thickBot="1">
      <c r="A31" s="94" t="s">
        <v>255</v>
      </c>
      <c r="B31" s="94" t="str">
        <f t="shared" si="0"/>
        <v>127_0030</v>
      </c>
      <c r="C31" s="99" t="s">
        <v>313</v>
      </c>
      <c r="D31" s="96" t="s">
        <v>116</v>
      </c>
      <c r="E31" s="96" t="s">
        <v>59</v>
      </c>
      <c r="F31" s="96" t="s">
        <v>181</v>
      </c>
      <c r="G31" s="96" t="s">
        <v>307</v>
      </c>
      <c r="H31" s="86" t="s">
        <v>358</v>
      </c>
      <c r="I31" s="88" t="s">
        <v>31</v>
      </c>
      <c r="J31" s="92"/>
      <c r="K31" s="92"/>
      <c r="L31" s="88" t="s">
        <v>222</v>
      </c>
      <c r="M31" s="82" t="s">
        <v>329</v>
      </c>
    </row>
    <row r="32" spans="1:13" ht="26.25" hidden="1" thickBot="1">
      <c r="A32" s="94" t="s">
        <v>256</v>
      </c>
      <c r="B32" s="94" t="str">
        <f t="shared" si="0"/>
        <v>127_0031</v>
      </c>
      <c r="C32" s="98" t="s">
        <v>310</v>
      </c>
      <c r="D32" s="103" t="s">
        <v>330</v>
      </c>
      <c r="E32" s="103" t="s">
        <v>331</v>
      </c>
      <c r="F32" s="105" t="s">
        <v>332</v>
      </c>
      <c r="H32" s="99"/>
      <c r="I32" s="107" t="s">
        <v>31</v>
      </c>
      <c r="J32" s="92"/>
      <c r="K32" s="92" t="s">
        <v>298</v>
      </c>
      <c r="L32" s="88" t="s">
        <v>222</v>
      </c>
      <c r="M32" s="82" t="s">
        <v>333</v>
      </c>
    </row>
    <row r="33" spans="1:13" ht="26.25" hidden="1" thickBot="1">
      <c r="A33" s="94" t="s">
        <v>257</v>
      </c>
      <c r="B33" s="94" t="str">
        <f t="shared" si="0"/>
        <v>127_0032</v>
      </c>
      <c r="C33" s="98" t="s">
        <v>310</v>
      </c>
      <c r="D33" s="108" t="s">
        <v>117</v>
      </c>
      <c r="E33" s="108" t="s">
        <v>60</v>
      </c>
      <c r="F33" s="108" t="s">
        <v>182</v>
      </c>
      <c r="G33" s="106" t="s">
        <v>307</v>
      </c>
      <c r="I33" s="88" t="s">
        <v>31</v>
      </c>
      <c r="K33" s="92" t="s">
        <v>298</v>
      </c>
      <c r="L33" s="88" t="s">
        <v>222</v>
      </c>
      <c r="M33" s="82" t="s">
        <v>333</v>
      </c>
    </row>
    <row r="34" spans="1:13" ht="26.25" thickBot="1">
      <c r="A34" s="94" t="s">
        <v>258</v>
      </c>
      <c r="B34" s="94" t="str">
        <f t="shared" si="0"/>
        <v>127_0033</v>
      </c>
      <c r="C34" s="98" t="s">
        <v>313</v>
      </c>
      <c r="D34" s="108" t="s">
        <v>118</v>
      </c>
      <c r="E34" s="91" t="s">
        <v>334</v>
      </c>
      <c r="F34" s="108" t="s">
        <v>183</v>
      </c>
      <c r="G34" s="106" t="s">
        <v>306</v>
      </c>
      <c r="H34" s="90" t="s">
        <v>359</v>
      </c>
      <c r="I34" s="88" t="s">
        <v>31</v>
      </c>
      <c r="L34" s="88" t="s">
        <v>222</v>
      </c>
      <c r="M34" s="97" t="s">
        <v>335</v>
      </c>
    </row>
    <row r="35" spans="1:13" ht="39" thickBot="1">
      <c r="A35" s="94" t="s">
        <v>259</v>
      </c>
      <c r="B35" s="94" t="str">
        <f t="shared" si="0"/>
        <v>127_0034</v>
      </c>
      <c r="C35" s="98" t="s">
        <v>313</v>
      </c>
      <c r="D35" s="91" t="s">
        <v>119</v>
      </c>
      <c r="E35" s="108" t="s">
        <v>61</v>
      </c>
      <c r="F35" s="108" t="s">
        <v>184</v>
      </c>
      <c r="G35" s="112" t="s">
        <v>307</v>
      </c>
      <c r="H35" s="90" t="s">
        <v>402</v>
      </c>
      <c r="I35" s="88" t="s">
        <v>31</v>
      </c>
      <c r="L35" s="88" t="s">
        <v>222</v>
      </c>
    </row>
    <row r="36" spans="1:13" ht="51.75" thickBot="1">
      <c r="A36" s="94" t="s">
        <v>260</v>
      </c>
      <c r="B36" s="94" t="str">
        <f t="shared" si="0"/>
        <v>127_0035</v>
      </c>
      <c r="C36" s="98" t="s">
        <v>313</v>
      </c>
      <c r="D36" s="108" t="s">
        <v>120</v>
      </c>
      <c r="E36" s="108" t="s">
        <v>62</v>
      </c>
      <c r="F36" s="108" t="s">
        <v>185</v>
      </c>
      <c r="G36" s="106" t="s">
        <v>307</v>
      </c>
      <c r="H36" s="90" t="s">
        <v>365</v>
      </c>
      <c r="I36" s="88" t="s">
        <v>31</v>
      </c>
      <c r="L36" s="88" t="s">
        <v>222</v>
      </c>
    </row>
    <row r="37" spans="1:13" ht="26.25" hidden="1" thickBot="1">
      <c r="A37" s="94" t="s">
        <v>261</v>
      </c>
      <c r="B37" s="94" t="str">
        <f t="shared" si="0"/>
        <v>127_0036</v>
      </c>
      <c r="C37" s="98" t="s">
        <v>310</v>
      </c>
      <c r="D37" s="108" t="s">
        <v>121</v>
      </c>
      <c r="E37" s="91" t="s">
        <v>341</v>
      </c>
      <c r="F37" s="108" t="s">
        <v>186</v>
      </c>
      <c r="G37" s="106" t="s">
        <v>306</v>
      </c>
      <c r="H37" s="90">
        <v>13.1</v>
      </c>
      <c r="I37" s="88" t="s">
        <v>31</v>
      </c>
      <c r="K37" s="92" t="s">
        <v>298</v>
      </c>
      <c r="L37" s="88" t="s">
        <v>220</v>
      </c>
      <c r="M37" s="82" t="s">
        <v>336</v>
      </c>
    </row>
    <row r="38" spans="1:13" ht="26.25" thickBot="1">
      <c r="A38" s="94" t="s">
        <v>262</v>
      </c>
      <c r="B38" s="94" t="str">
        <f t="shared" si="0"/>
        <v>127_0037</v>
      </c>
      <c r="C38" s="98" t="s">
        <v>312</v>
      </c>
      <c r="D38" s="108" t="s">
        <v>122</v>
      </c>
      <c r="E38" s="108" t="s">
        <v>63</v>
      </c>
      <c r="F38" s="108" t="s">
        <v>187</v>
      </c>
      <c r="G38" s="112" t="s">
        <v>306</v>
      </c>
      <c r="H38" s="86">
        <v>13.1</v>
      </c>
      <c r="I38" s="88" t="s">
        <v>31</v>
      </c>
      <c r="K38" s="92"/>
      <c r="L38" s="88" t="s">
        <v>222</v>
      </c>
    </row>
    <row r="39" spans="1:13" ht="26.25" thickBot="1">
      <c r="A39" s="94" t="s">
        <v>263</v>
      </c>
      <c r="B39" s="94" t="str">
        <f t="shared" si="0"/>
        <v>127_0038</v>
      </c>
      <c r="C39" s="98" t="s">
        <v>312</v>
      </c>
      <c r="D39" s="108" t="s">
        <v>123</v>
      </c>
      <c r="E39" s="108" t="s">
        <v>64</v>
      </c>
      <c r="F39" s="108" t="s">
        <v>188</v>
      </c>
      <c r="G39" s="106" t="s">
        <v>306</v>
      </c>
      <c r="H39" s="90">
        <v>13.1</v>
      </c>
      <c r="I39" s="88" t="s">
        <v>31</v>
      </c>
      <c r="L39" s="88" t="s">
        <v>222</v>
      </c>
    </row>
    <row r="40" spans="1:13" ht="42" customHeight="1" thickBot="1">
      <c r="A40" s="94" t="s">
        <v>264</v>
      </c>
      <c r="B40" s="94" t="str">
        <f t="shared" si="0"/>
        <v>127_0039</v>
      </c>
      <c r="C40" s="98" t="s">
        <v>312</v>
      </c>
      <c r="D40" s="108" t="s">
        <v>124</v>
      </c>
      <c r="E40" s="91" t="s">
        <v>342</v>
      </c>
      <c r="F40" s="108" t="s">
        <v>186</v>
      </c>
      <c r="G40" s="106" t="s">
        <v>306</v>
      </c>
      <c r="H40" s="90">
        <v>14.1</v>
      </c>
      <c r="I40" s="88" t="s">
        <v>31</v>
      </c>
      <c r="J40" s="92" t="s">
        <v>298</v>
      </c>
      <c r="L40" s="88" t="s">
        <v>222</v>
      </c>
      <c r="M40" s="88" t="s">
        <v>340</v>
      </c>
    </row>
    <row r="41" spans="1:13" thickBot="1">
      <c r="A41" s="94" t="s">
        <v>265</v>
      </c>
      <c r="B41" s="94" t="str">
        <f t="shared" si="0"/>
        <v>127_0040</v>
      </c>
      <c r="C41" s="98" t="s">
        <v>310</v>
      </c>
      <c r="D41" s="108" t="s">
        <v>125</v>
      </c>
      <c r="E41" s="108" t="s">
        <v>65</v>
      </c>
      <c r="F41" s="108" t="s">
        <v>189</v>
      </c>
      <c r="G41" s="112" t="s">
        <v>308</v>
      </c>
      <c r="H41" s="86" t="s">
        <v>360</v>
      </c>
      <c r="I41" s="88" t="s">
        <v>31</v>
      </c>
      <c r="L41" s="88" t="s">
        <v>222</v>
      </c>
    </row>
    <row r="42" spans="1:13" ht="39" hidden="1" thickBot="1">
      <c r="A42" s="94" t="s">
        <v>266</v>
      </c>
      <c r="B42" s="94" t="str">
        <f t="shared" si="0"/>
        <v>127_0041</v>
      </c>
      <c r="C42" s="98" t="s">
        <v>310</v>
      </c>
      <c r="D42" s="108" t="s">
        <v>126</v>
      </c>
      <c r="E42" s="108" t="s">
        <v>66</v>
      </c>
      <c r="F42" s="108" t="s">
        <v>190</v>
      </c>
      <c r="G42" s="106" t="s">
        <v>306</v>
      </c>
      <c r="H42" s="90" t="s">
        <v>302</v>
      </c>
      <c r="I42" s="88" t="s">
        <v>31</v>
      </c>
      <c r="K42" s="92" t="s">
        <v>298</v>
      </c>
      <c r="L42" s="88" t="s">
        <v>222</v>
      </c>
      <c r="M42" s="97" t="s">
        <v>299</v>
      </c>
    </row>
    <row r="43" spans="1:13" ht="39" hidden="1" thickBot="1">
      <c r="A43" s="94" t="s">
        <v>267</v>
      </c>
      <c r="B43" s="94" t="str">
        <f t="shared" si="0"/>
        <v>127_0042</v>
      </c>
      <c r="C43" s="98" t="s">
        <v>310</v>
      </c>
      <c r="D43" s="108" t="s">
        <v>127</v>
      </c>
      <c r="E43" s="108" t="s">
        <v>67</v>
      </c>
      <c r="F43" s="108" t="s">
        <v>191</v>
      </c>
      <c r="G43" s="106" t="s">
        <v>306</v>
      </c>
      <c r="H43" s="90" t="s">
        <v>303</v>
      </c>
      <c r="I43" s="88" t="s">
        <v>31</v>
      </c>
      <c r="K43" s="92" t="s">
        <v>298</v>
      </c>
      <c r="L43" s="88" t="s">
        <v>222</v>
      </c>
      <c r="M43" s="97" t="s">
        <v>299</v>
      </c>
    </row>
    <row r="44" spans="1:13" ht="39" hidden="1" thickBot="1">
      <c r="A44" s="94" t="s">
        <v>268</v>
      </c>
      <c r="B44" s="94" t="str">
        <f t="shared" si="0"/>
        <v>127_0043</v>
      </c>
      <c r="C44" s="98" t="s">
        <v>310</v>
      </c>
      <c r="D44" s="108" t="s">
        <v>128</v>
      </c>
      <c r="E44" s="108" t="s">
        <v>68</v>
      </c>
      <c r="F44" s="108" t="s">
        <v>192</v>
      </c>
      <c r="G44" s="106" t="s">
        <v>306</v>
      </c>
      <c r="H44" s="90" t="s">
        <v>304</v>
      </c>
      <c r="I44" s="88" t="s">
        <v>31</v>
      </c>
      <c r="K44" s="92" t="s">
        <v>298</v>
      </c>
      <c r="L44" s="88" t="s">
        <v>222</v>
      </c>
      <c r="M44" s="97" t="s">
        <v>299</v>
      </c>
    </row>
    <row r="45" spans="1:13" ht="26.25" thickBot="1">
      <c r="A45" s="94" t="s">
        <v>269</v>
      </c>
      <c r="B45" s="94" t="str">
        <f t="shared" si="0"/>
        <v>127_0044</v>
      </c>
      <c r="C45" s="98" t="s">
        <v>310</v>
      </c>
      <c r="D45" s="91" t="s">
        <v>343</v>
      </c>
      <c r="E45" s="91" t="s">
        <v>344</v>
      </c>
      <c r="F45" s="108" t="s">
        <v>193</v>
      </c>
      <c r="G45" s="106" t="s">
        <v>307</v>
      </c>
      <c r="H45" s="90" t="s">
        <v>358</v>
      </c>
      <c r="I45" s="88" t="s">
        <v>31</v>
      </c>
      <c r="L45" s="88" t="s">
        <v>222</v>
      </c>
    </row>
    <row r="46" spans="1:13" ht="26.25" thickBot="1">
      <c r="A46" s="94" t="s">
        <v>270</v>
      </c>
      <c r="B46" s="94" t="str">
        <f t="shared" si="0"/>
        <v>127_0045</v>
      </c>
      <c r="C46" s="98" t="s">
        <v>310</v>
      </c>
      <c r="D46" s="108" t="s">
        <v>129</v>
      </c>
      <c r="E46" s="91" t="s">
        <v>82</v>
      </c>
      <c r="F46" s="108" t="s">
        <v>194</v>
      </c>
      <c r="G46" s="112" t="s">
        <v>308</v>
      </c>
      <c r="H46" s="86" t="s">
        <v>361</v>
      </c>
      <c r="I46" s="88" t="s">
        <v>31</v>
      </c>
      <c r="L46" s="88" t="s">
        <v>222</v>
      </c>
    </row>
    <row r="47" spans="1:13" ht="26.25" thickBot="1">
      <c r="A47" s="94" t="s">
        <v>271</v>
      </c>
      <c r="B47" s="94" t="str">
        <f t="shared" si="0"/>
        <v>127_0046</v>
      </c>
      <c r="C47" s="98" t="s">
        <v>310</v>
      </c>
      <c r="D47" s="108" t="s">
        <v>130</v>
      </c>
      <c r="E47" s="91" t="s">
        <v>83</v>
      </c>
      <c r="F47" s="108" t="s">
        <v>195</v>
      </c>
      <c r="G47" s="106" t="s">
        <v>321</v>
      </c>
      <c r="I47" s="88" t="s">
        <v>31</v>
      </c>
      <c r="L47" s="88" t="s">
        <v>222</v>
      </c>
    </row>
    <row r="48" spans="1:13" ht="26.25" thickBot="1">
      <c r="A48" s="94" t="s">
        <v>272</v>
      </c>
      <c r="B48" s="94" t="str">
        <f t="shared" si="0"/>
        <v>127_0047</v>
      </c>
      <c r="C48" s="98" t="s">
        <v>310</v>
      </c>
      <c r="D48" s="108" t="s">
        <v>131</v>
      </c>
      <c r="E48" s="91" t="s">
        <v>84</v>
      </c>
      <c r="F48" s="108" t="s">
        <v>196</v>
      </c>
      <c r="G48" s="112" t="s">
        <v>307</v>
      </c>
      <c r="H48" s="86" t="s">
        <v>345</v>
      </c>
      <c r="I48" s="88" t="s">
        <v>31</v>
      </c>
      <c r="L48" s="88" t="s">
        <v>222</v>
      </c>
    </row>
    <row r="49" spans="1:13" ht="39" thickBot="1">
      <c r="A49" s="94" t="s">
        <v>273</v>
      </c>
      <c r="B49" s="94" t="str">
        <f t="shared" si="0"/>
        <v>127_0048</v>
      </c>
      <c r="C49" s="98" t="s">
        <v>310</v>
      </c>
      <c r="D49" s="108" t="s">
        <v>132</v>
      </c>
      <c r="E49" s="91" t="s">
        <v>85</v>
      </c>
      <c r="F49" s="108" t="s">
        <v>197</v>
      </c>
      <c r="G49" s="112" t="s">
        <v>307</v>
      </c>
      <c r="H49" s="90" t="s">
        <v>364</v>
      </c>
      <c r="I49" s="88" t="s">
        <v>31</v>
      </c>
      <c r="L49" s="88" t="s">
        <v>222</v>
      </c>
      <c r="M49" s="97" t="s">
        <v>363</v>
      </c>
    </row>
    <row r="50" spans="1:13" ht="39" thickBot="1">
      <c r="A50" s="94" t="s">
        <v>274</v>
      </c>
      <c r="B50" s="94" t="str">
        <f t="shared" si="0"/>
        <v>127_0049</v>
      </c>
      <c r="C50" s="98" t="s">
        <v>313</v>
      </c>
      <c r="D50" s="108" t="s">
        <v>133</v>
      </c>
      <c r="E50" s="91" t="s">
        <v>86</v>
      </c>
      <c r="F50" s="108" t="s">
        <v>198</v>
      </c>
      <c r="G50" s="112" t="s">
        <v>307</v>
      </c>
      <c r="H50" s="90" t="s">
        <v>364</v>
      </c>
      <c r="I50" s="88" t="s">
        <v>31</v>
      </c>
      <c r="L50" s="88" t="s">
        <v>222</v>
      </c>
      <c r="M50" s="97" t="s">
        <v>363</v>
      </c>
    </row>
    <row r="51" spans="1:13" ht="26.25" thickBot="1">
      <c r="A51" s="94" t="s">
        <v>275</v>
      </c>
      <c r="B51" s="94" t="str">
        <f t="shared" si="0"/>
        <v>127_0050</v>
      </c>
      <c r="C51" s="98" t="s">
        <v>313</v>
      </c>
      <c r="D51" s="108" t="s">
        <v>134</v>
      </c>
      <c r="E51" s="91" t="s">
        <v>87</v>
      </c>
      <c r="F51" s="108" t="s">
        <v>199</v>
      </c>
      <c r="G51" s="112" t="s">
        <v>307</v>
      </c>
      <c r="H51" s="86" t="s">
        <v>366</v>
      </c>
      <c r="I51" s="88" t="s">
        <v>31</v>
      </c>
      <c r="L51" s="88" t="s">
        <v>222</v>
      </c>
    </row>
    <row r="52" spans="1:13" ht="64.5" hidden="1" thickBot="1">
      <c r="A52" s="94" t="s">
        <v>276</v>
      </c>
      <c r="B52" s="94" t="str">
        <f t="shared" si="0"/>
        <v>127_0051</v>
      </c>
      <c r="C52" s="98" t="s">
        <v>313</v>
      </c>
      <c r="D52" s="108" t="s">
        <v>135</v>
      </c>
      <c r="E52" s="91" t="s">
        <v>88</v>
      </c>
      <c r="F52" s="108" t="s">
        <v>200</v>
      </c>
      <c r="G52" s="106" t="s">
        <v>219</v>
      </c>
      <c r="I52" s="88" t="s">
        <v>31</v>
      </c>
      <c r="K52" s="92" t="s">
        <v>298</v>
      </c>
      <c r="L52" s="88" t="s">
        <v>222</v>
      </c>
      <c r="M52" s="97" t="s">
        <v>300</v>
      </c>
    </row>
    <row r="53" spans="1:13" ht="26.25" thickBot="1">
      <c r="A53" s="94" t="s">
        <v>277</v>
      </c>
      <c r="B53" s="94" t="str">
        <f t="shared" si="0"/>
        <v>127_0052</v>
      </c>
      <c r="C53" s="98" t="s">
        <v>310</v>
      </c>
      <c r="D53" s="108" t="s">
        <v>136</v>
      </c>
      <c r="E53" s="91" t="s">
        <v>89</v>
      </c>
      <c r="F53" s="108" t="s">
        <v>201</v>
      </c>
      <c r="G53" s="112" t="s">
        <v>307</v>
      </c>
      <c r="H53" s="90">
        <v>13.1</v>
      </c>
      <c r="I53" s="88" t="s">
        <v>31</v>
      </c>
      <c r="L53" s="88" t="s">
        <v>222</v>
      </c>
    </row>
    <row r="54" spans="1:13" ht="26.25" thickBot="1">
      <c r="A54" s="94" t="s">
        <v>278</v>
      </c>
      <c r="B54" s="94" t="str">
        <f t="shared" si="0"/>
        <v>127_0053</v>
      </c>
      <c r="C54" s="98" t="s">
        <v>310</v>
      </c>
      <c r="D54" s="108" t="s">
        <v>137</v>
      </c>
      <c r="E54" s="91" t="s">
        <v>90</v>
      </c>
      <c r="F54" s="108" t="s">
        <v>202</v>
      </c>
      <c r="G54" s="112" t="s">
        <v>307</v>
      </c>
      <c r="H54" s="86" t="s">
        <v>446</v>
      </c>
      <c r="I54" s="88" t="s">
        <v>31</v>
      </c>
      <c r="L54" s="88" t="s">
        <v>222</v>
      </c>
    </row>
    <row r="55" spans="1:13" ht="26.25" thickBot="1">
      <c r="A55" s="94" t="s">
        <v>279</v>
      </c>
      <c r="B55" s="94" t="str">
        <f t="shared" si="0"/>
        <v>127_0054</v>
      </c>
      <c r="C55" s="98" t="s">
        <v>310</v>
      </c>
      <c r="D55" s="108" t="s">
        <v>138</v>
      </c>
      <c r="E55" s="91" t="s">
        <v>91</v>
      </c>
      <c r="F55" s="108" t="s">
        <v>203</v>
      </c>
      <c r="G55" s="112" t="s">
        <v>307</v>
      </c>
      <c r="H55" s="90">
        <v>14.6</v>
      </c>
      <c r="I55" s="88" t="s">
        <v>31</v>
      </c>
      <c r="L55" s="88" t="s">
        <v>222</v>
      </c>
    </row>
    <row r="56" spans="1:13" ht="26.25" thickBot="1">
      <c r="A56" s="94" t="s">
        <v>280</v>
      </c>
      <c r="B56" s="94" t="str">
        <f t="shared" si="0"/>
        <v>127_0055</v>
      </c>
      <c r="C56" s="98" t="s">
        <v>310</v>
      </c>
      <c r="D56" s="108" t="s">
        <v>139</v>
      </c>
      <c r="E56" s="91" t="s">
        <v>92</v>
      </c>
      <c r="F56" s="108" t="s">
        <v>204</v>
      </c>
      <c r="G56" s="112" t="s">
        <v>308</v>
      </c>
      <c r="H56" s="90" t="s">
        <v>367</v>
      </c>
      <c r="I56" s="88" t="s">
        <v>31</v>
      </c>
      <c r="L56" s="88" t="s">
        <v>222</v>
      </c>
    </row>
    <row r="57" spans="1:13" ht="39" thickBot="1">
      <c r="A57" s="94" t="s">
        <v>281</v>
      </c>
      <c r="B57" s="94" t="str">
        <f t="shared" si="0"/>
        <v>127_0056</v>
      </c>
      <c r="C57" s="98" t="s">
        <v>310</v>
      </c>
      <c r="D57" s="108" t="s">
        <v>140</v>
      </c>
      <c r="E57" s="91" t="s">
        <v>93</v>
      </c>
      <c r="F57" s="108" t="s">
        <v>205</v>
      </c>
      <c r="G57" s="106" t="s">
        <v>307</v>
      </c>
      <c r="H57" s="90" t="s">
        <v>346</v>
      </c>
      <c r="I57" s="88" t="s">
        <v>31</v>
      </c>
      <c r="L57" s="88" t="s">
        <v>220</v>
      </c>
      <c r="M57" s="82" t="s">
        <v>447</v>
      </c>
    </row>
    <row r="58" spans="1:13" ht="39" hidden="1" thickBot="1">
      <c r="A58" s="94" t="s">
        <v>282</v>
      </c>
      <c r="B58" s="94" t="str">
        <f t="shared" si="0"/>
        <v>127_0057</v>
      </c>
      <c r="C58" s="98"/>
      <c r="D58" s="108" t="s">
        <v>141</v>
      </c>
      <c r="E58" s="108" t="s">
        <v>69</v>
      </c>
      <c r="F58" s="108" t="s">
        <v>206</v>
      </c>
      <c r="G58" s="106" t="s">
        <v>306</v>
      </c>
      <c r="H58" s="90" t="s">
        <v>368</v>
      </c>
      <c r="I58" s="88" t="s">
        <v>31</v>
      </c>
      <c r="K58" s="92" t="s">
        <v>298</v>
      </c>
      <c r="L58" s="88" t="s">
        <v>222</v>
      </c>
      <c r="M58" s="88" t="s">
        <v>301</v>
      </c>
    </row>
    <row r="59" spans="1:13" ht="39" hidden="1" thickBot="1">
      <c r="A59" s="94" t="s">
        <v>283</v>
      </c>
      <c r="B59" s="94" t="str">
        <f t="shared" si="0"/>
        <v>127_0058</v>
      </c>
      <c r="C59" s="98"/>
      <c r="D59" s="108" t="s">
        <v>142</v>
      </c>
      <c r="E59" s="108" t="s">
        <v>70</v>
      </c>
      <c r="F59" s="108" t="s">
        <v>207</v>
      </c>
      <c r="G59" s="106" t="s">
        <v>306</v>
      </c>
      <c r="H59" s="90" t="s">
        <v>369</v>
      </c>
      <c r="I59" s="88" t="s">
        <v>31</v>
      </c>
      <c r="K59" s="92" t="s">
        <v>298</v>
      </c>
      <c r="L59" s="88" t="s">
        <v>222</v>
      </c>
      <c r="M59" s="88" t="s">
        <v>301</v>
      </c>
    </row>
    <row r="60" spans="1:13" ht="26.25" hidden="1" thickBot="1">
      <c r="A60" s="94" t="s">
        <v>284</v>
      </c>
      <c r="B60" s="94" t="str">
        <f t="shared" si="0"/>
        <v>127_0059</v>
      </c>
      <c r="C60" s="98" t="s">
        <v>313</v>
      </c>
      <c r="D60" s="108" t="s">
        <v>143</v>
      </c>
      <c r="E60" s="91" t="s">
        <v>441</v>
      </c>
      <c r="F60" s="91" t="s">
        <v>440</v>
      </c>
      <c r="G60" s="106" t="s">
        <v>306</v>
      </c>
      <c r="H60" s="90">
        <v>11.2</v>
      </c>
      <c r="I60" s="88" t="s">
        <v>31</v>
      </c>
      <c r="K60" s="92" t="s">
        <v>298</v>
      </c>
      <c r="L60" s="88" t="s">
        <v>223</v>
      </c>
      <c r="M60" s="97" t="s">
        <v>299</v>
      </c>
    </row>
    <row r="61" spans="1:13" ht="39" hidden="1" thickBot="1">
      <c r="A61" s="94" t="s">
        <v>285</v>
      </c>
      <c r="B61" s="94" t="str">
        <f t="shared" si="0"/>
        <v>127_0060</v>
      </c>
      <c r="C61" s="98" t="s">
        <v>310</v>
      </c>
      <c r="D61" s="108" t="s">
        <v>144</v>
      </c>
      <c r="E61" s="108" t="s">
        <v>71</v>
      </c>
      <c r="F61" s="108" t="s">
        <v>208</v>
      </c>
      <c r="G61" s="106" t="s">
        <v>219</v>
      </c>
      <c r="I61" s="88" t="s">
        <v>31</v>
      </c>
      <c r="K61" s="92" t="s">
        <v>298</v>
      </c>
      <c r="L61" s="88" t="s">
        <v>223</v>
      </c>
      <c r="M61" s="97" t="s">
        <v>299</v>
      </c>
    </row>
    <row r="62" spans="1:13" ht="39" hidden="1" thickBot="1">
      <c r="A62" s="94" t="s">
        <v>286</v>
      </c>
      <c r="B62" s="94" t="str">
        <f t="shared" si="0"/>
        <v>127_0061</v>
      </c>
      <c r="C62" s="98" t="s">
        <v>310</v>
      </c>
      <c r="D62" s="108" t="s">
        <v>145</v>
      </c>
      <c r="E62" s="108" t="s">
        <v>72</v>
      </c>
      <c r="F62" s="108" t="s">
        <v>209</v>
      </c>
      <c r="G62" s="106" t="s">
        <v>219</v>
      </c>
      <c r="I62" s="88" t="s">
        <v>31</v>
      </c>
      <c r="K62" s="92" t="s">
        <v>298</v>
      </c>
      <c r="L62" s="88" t="s">
        <v>223</v>
      </c>
      <c r="M62" s="97" t="s">
        <v>299</v>
      </c>
    </row>
    <row r="63" spans="1:13" ht="26.25" thickBot="1">
      <c r="A63" s="94" t="s">
        <v>287</v>
      </c>
      <c r="B63" s="94" t="str">
        <f t="shared" si="0"/>
        <v>127_0062</v>
      </c>
      <c r="C63" s="98" t="s">
        <v>313</v>
      </c>
      <c r="D63" s="108" t="s">
        <v>146</v>
      </c>
      <c r="E63" s="103" t="s">
        <v>347</v>
      </c>
      <c r="F63" s="105" t="s">
        <v>348</v>
      </c>
      <c r="G63" s="112" t="s">
        <v>306</v>
      </c>
      <c r="H63" s="90">
        <v>12.11</v>
      </c>
      <c r="I63" s="88" t="s">
        <v>31</v>
      </c>
      <c r="L63" s="88" t="s">
        <v>223</v>
      </c>
    </row>
    <row r="64" spans="1:13" ht="26.25" hidden="1" thickBot="1">
      <c r="A64" s="94" t="s">
        <v>288</v>
      </c>
      <c r="B64" s="94" t="str">
        <f t="shared" si="0"/>
        <v>127_0063</v>
      </c>
      <c r="C64" s="98" t="s">
        <v>313</v>
      </c>
      <c r="D64" s="108" t="s">
        <v>147</v>
      </c>
      <c r="E64" s="108" t="s">
        <v>73</v>
      </c>
      <c r="F64" s="108" t="s">
        <v>210</v>
      </c>
      <c r="G64" s="106" t="s">
        <v>219</v>
      </c>
      <c r="I64" s="88" t="s">
        <v>31</v>
      </c>
      <c r="K64" s="92" t="s">
        <v>298</v>
      </c>
      <c r="L64" s="88" t="s">
        <v>223</v>
      </c>
      <c r="M64" s="97" t="s">
        <v>299</v>
      </c>
    </row>
    <row r="65" spans="1:13" ht="39" thickBot="1">
      <c r="A65" s="94" t="s">
        <v>289</v>
      </c>
      <c r="B65" s="94" t="str">
        <f t="shared" si="0"/>
        <v>127_0064</v>
      </c>
      <c r="C65" s="98" t="s">
        <v>312</v>
      </c>
      <c r="D65" s="103" t="s">
        <v>349</v>
      </c>
      <c r="E65" s="91" t="s">
        <v>352</v>
      </c>
      <c r="F65" s="91" t="s">
        <v>350</v>
      </c>
      <c r="G65" s="112" t="s">
        <v>306</v>
      </c>
      <c r="H65" s="86">
        <v>7.5</v>
      </c>
      <c r="I65" s="88" t="s">
        <v>31</v>
      </c>
      <c r="J65" s="92" t="s">
        <v>298</v>
      </c>
      <c r="L65" s="88" t="s">
        <v>223</v>
      </c>
      <c r="M65" s="97" t="s">
        <v>299</v>
      </c>
    </row>
    <row r="66" spans="1:13" ht="39" thickBot="1">
      <c r="A66" s="94" t="s">
        <v>290</v>
      </c>
      <c r="B66" s="94" t="str">
        <f t="shared" si="0"/>
        <v>127_0065</v>
      </c>
      <c r="C66" s="98" t="s">
        <v>310</v>
      </c>
      <c r="D66" s="108" t="s">
        <v>148</v>
      </c>
      <c r="E66" s="108" t="s">
        <v>74</v>
      </c>
      <c r="F66" s="108" t="s">
        <v>211</v>
      </c>
      <c r="G66" s="106" t="s">
        <v>307</v>
      </c>
      <c r="H66" s="90" t="s">
        <v>370</v>
      </c>
      <c r="I66" s="88" t="s">
        <v>31</v>
      </c>
      <c r="L66" s="88" t="s">
        <v>221</v>
      </c>
      <c r="M66" s="111" t="s">
        <v>353</v>
      </c>
    </row>
    <row r="67" spans="1:13" ht="26.25" thickBot="1">
      <c r="A67" s="94" t="s">
        <v>291</v>
      </c>
      <c r="B67" s="94" t="str">
        <f t="shared" si="0"/>
        <v>127_0066</v>
      </c>
      <c r="C67" s="98" t="s">
        <v>310</v>
      </c>
      <c r="D67" s="108" t="s">
        <v>149</v>
      </c>
      <c r="E67" s="108" t="s">
        <v>75</v>
      </c>
      <c r="F67" s="108" t="s">
        <v>212</v>
      </c>
      <c r="G67" s="106" t="s">
        <v>307</v>
      </c>
      <c r="H67" s="90" t="s">
        <v>371</v>
      </c>
      <c r="I67" s="88" t="s">
        <v>31</v>
      </c>
      <c r="L67" s="88" t="s">
        <v>220</v>
      </c>
    </row>
    <row r="68" spans="1:13" ht="26.25" thickBot="1">
      <c r="A68" s="94" t="s">
        <v>292</v>
      </c>
      <c r="B68" s="94" t="str">
        <f t="shared" ref="B68:B98" si="1">_xlfn.CONCAT("127_", TEXT(ROW()-1, "0000"))</f>
        <v>127_0067</v>
      </c>
      <c r="C68" s="98" t="s">
        <v>310</v>
      </c>
      <c r="D68" s="108" t="s">
        <v>149</v>
      </c>
      <c r="E68" s="108" t="s">
        <v>76</v>
      </c>
      <c r="F68" s="108" t="s">
        <v>213</v>
      </c>
      <c r="G68" s="106" t="s">
        <v>307</v>
      </c>
      <c r="H68" s="90" t="s">
        <v>372</v>
      </c>
      <c r="I68" s="88" t="s">
        <v>31</v>
      </c>
      <c r="L68" s="88" t="s">
        <v>220</v>
      </c>
    </row>
    <row r="69" spans="1:13" ht="51.75" thickBot="1">
      <c r="A69" s="94" t="s">
        <v>293</v>
      </c>
      <c r="B69" s="94" t="str">
        <f t="shared" si="1"/>
        <v>127_0068</v>
      </c>
      <c r="C69" s="98" t="s">
        <v>310</v>
      </c>
      <c r="D69" s="108" t="s">
        <v>150</v>
      </c>
      <c r="E69" s="108" t="s">
        <v>77</v>
      </c>
      <c r="F69" s="108" t="s">
        <v>214</v>
      </c>
      <c r="G69" s="106" t="s">
        <v>307</v>
      </c>
      <c r="H69" s="90" t="s">
        <v>373</v>
      </c>
      <c r="I69" s="88" t="s">
        <v>31</v>
      </c>
      <c r="L69" s="88" t="s">
        <v>222</v>
      </c>
      <c r="M69" s="111" t="s">
        <v>353</v>
      </c>
    </row>
    <row r="70" spans="1:13" ht="39" thickBot="1">
      <c r="A70" s="94" t="s">
        <v>294</v>
      </c>
      <c r="B70" s="94" t="str">
        <f t="shared" si="1"/>
        <v>127_0069</v>
      </c>
      <c r="C70" s="98" t="s">
        <v>310</v>
      </c>
      <c r="D70" s="108" t="s">
        <v>151</v>
      </c>
      <c r="E70" s="108" t="s">
        <v>78</v>
      </c>
      <c r="F70" s="108" t="s">
        <v>215</v>
      </c>
      <c r="G70" s="106" t="s">
        <v>306</v>
      </c>
      <c r="H70" s="90" t="s">
        <v>373</v>
      </c>
      <c r="I70" s="88" t="s">
        <v>31</v>
      </c>
      <c r="L70" s="88" t="s">
        <v>222</v>
      </c>
      <c r="M70" s="111" t="s">
        <v>354</v>
      </c>
    </row>
    <row r="71" spans="1:13" ht="26.25" thickBot="1">
      <c r="A71" s="94" t="s">
        <v>295</v>
      </c>
      <c r="B71" s="94" t="str">
        <f t="shared" si="1"/>
        <v>127_0070</v>
      </c>
      <c r="C71" s="98" t="s">
        <v>310</v>
      </c>
      <c r="D71" s="108" t="s">
        <v>152</v>
      </c>
      <c r="E71" s="108" t="s">
        <v>79</v>
      </c>
      <c r="F71" s="108" t="s">
        <v>216</v>
      </c>
      <c r="G71" s="106" t="s">
        <v>307</v>
      </c>
      <c r="H71" s="90" t="s">
        <v>351</v>
      </c>
      <c r="I71" s="88" t="s">
        <v>31</v>
      </c>
      <c r="L71" s="88" t="s">
        <v>221</v>
      </c>
      <c r="M71" s="111" t="s">
        <v>354</v>
      </c>
    </row>
    <row r="72" spans="1:13" ht="39" thickBot="1">
      <c r="A72" s="94" t="s">
        <v>296</v>
      </c>
      <c r="B72" s="94" t="str">
        <f t="shared" si="1"/>
        <v>127_0071</v>
      </c>
      <c r="C72" s="98" t="s">
        <v>313</v>
      </c>
      <c r="D72" s="108" t="s">
        <v>153</v>
      </c>
      <c r="E72" s="108" t="s">
        <v>80</v>
      </c>
      <c r="F72" s="108" t="s">
        <v>217</v>
      </c>
      <c r="G72" s="106" t="s">
        <v>307</v>
      </c>
      <c r="H72" s="90" t="s">
        <v>366</v>
      </c>
      <c r="I72" s="88" t="s">
        <v>31</v>
      </c>
      <c r="L72" s="88" t="s">
        <v>221</v>
      </c>
    </row>
    <row r="73" spans="1:13" ht="26.25" hidden="1" thickBot="1">
      <c r="A73" s="94" t="s">
        <v>297</v>
      </c>
      <c r="B73" s="94" t="str">
        <f t="shared" si="1"/>
        <v>127_0072</v>
      </c>
      <c r="C73" s="98" t="s">
        <v>310</v>
      </c>
      <c r="D73" s="108" t="s">
        <v>154</v>
      </c>
      <c r="E73" s="108" t="s">
        <v>81</v>
      </c>
      <c r="F73" s="108" t="s">
        <v>218</v>
      </c>
      <c r="G73" s="106" t="s">
        <v>307</v>
      </c>
      <c r="H73" s="90">
        <v>9.4</v>
      </c>
      <c r="I73" s="88" t="s">
        <v>31</v>
      </c>
      <c r="K73" s="92" t="s">
        <v>298</v>
      </c>
      <c r="L73" s="88" t="s">
        <v>221</v>
      </c>
      <c r="M73" s="88" t="s">
        <v>355</v>
      </c>
    </row>
    <row r="74" spans="1:13" ht="39" thickBot="1">
      <c r="A74" s="94" t="str">
        <f>_xlfn.CONCAT("127_Ed2_", TEXT(ROW()-73, "000"))</f>
        <v>127_Ed2_001</v>
      </c>
      <c r="B74" s="94" t="str">
        <f t="shared" si="1"/>
        <v>127_0073</v>
      </c>
      <c r="C74" s="86" t="s">
        <v>312</v>
      </c>
      <c r="D74" s="103" t="s">
        <v>337</v>
      </c>
      <c r="E74" s="103" t="s">
        <v>338</v>
      </c>
      <c r="F74" s="105" t="s">
        <v>339</v>
      </c>
      <c r="G74" s="112" t="s">
        <v>306</v>
      </c>
      <c r="H74" s="86">
        <v>13.1</v>
      </c>
      <c r="I74" s="107" t="s">
        <v>298</v>
      </c>
      <c r="L74" s="88" t="s">
        <v>321</v>
      </c>
      <c r="M74" s="88" t="s">
        <v>405</v>
      </c>
    </row>
    <row r="75" spans="1:13" ht="26.25" thickBot="1">
      <c r="A75" s="94" t="str">
        <f t="shared" ref="A75:A98" si="2">_xlfn.CONCAT("127_Ed2_", TEXT(ROW()-73, "000"))</f>
        <v>127_Ed2_002</v>
      </c>
      <c r="B75" s="94" t="str">
        <f t="shared" si="1"/>
        <v>127_0074</v>
      </c>
      <c r="C75" s="98" t="s">
        <v>310</v>
      </c>
      <c r="D75" s="88" t="s">
        <v>374</v>
      </c>
      <c r="E75" s="88" t="s">
        <v>375</v>
      </c>
      <c r="F75" s="88" t="s">
        <v>376</v>
      </c>
      <c r="G75" s="89" t="s">
        <v>307</v>
      </c>
      <c r="H75" s="90" t="s">
        <v>377</v>
      </c>
      <c r="I75" s="107" t="s">
        <v>298</v>
      </c>
      <c r="L75" s="97" t="s">
        <v>378</v>
      </c>
    </row>
    <row r="76" spans="1:13" ht="26.25" thickBot="1">
      <c r="A76" s="94" t="str">
        <f t="shared" si="2"/>
        <v>127_Ed2_003</v>
      </c>
      <c r="B76" s="94" t="str">
        <f t="shared" si="1"/>
        <v>127_0075</v>
      </c>
      <c r="C76" s="90" t="s">
        <v>313</v>
      </c>
      <c r="D76" s="85" t="s">
        <v>379</v>
      </c>
      <c r="E76" s="85" t="s">
        <v>380</v>
      </c>
      <c r="F76" s="91" t="s">
        <v>381</v>
      </c>
      <c r="G76" s="112" t="s">
        <v>306</v>
      </c>
      <c r="H76" s="86">
        <v>7.3</v>
      </c>
      <c r="I76" s="92" t="s">
        <v>298</v>
      </c>
      <c r="L76" s="88" t="s">
        <v>403</v>
      </c>
    </row>
    <row r="77" spans="1:13" ht="51.75" thickBot="1">
      <c r="A77" s="94" t="str">
        <f t="shared" si="2"/>
        <v>127_Ed2_004</v>
      </c>
      <c r="B77" s="94" t="str">
        <f t="shared" si="1"/>
        <v>127_0076</v>
      </c>
      <c r="C77" s="42" t="s">
        <v>310</v>
      </c>
      <c r="D77" s="83" t="s">
        <v>406</v>
      </c>
      <c r="E77" s="83" t="s">
        <v>407</v>
      </c>
      <c r="F77" s="113" t="s">
        <v>408</v>
      </c>
      <c r="G77" s="120" t="s">
        <v>307</v>
      </c>
      <c r="H77" s="84" t="s">
        <v>409</v>
      </c>
      <c r="I77" s="88" t="s">
        <v>298</v>
      </c>
      <c r="J77" s="92"/>
      <c r="K77" s="92"/>
      <c r="L77" s="85" t="s">
        <v>403</v>
      </c>
    </row>
    <row r="78" spans="1:13" ht="26.25" thickBot="1">
      <c r="A78" s="94" t="str">
        <f t="shared" si="2"/>
        <v>127_Ed2_005</v>
      </c>
      <c r="B78" s="94" t="str">
        <f t="shared" si="1"/>
        <v>127_0077</v>
      </c>
      <c r="C78" s="42" t="s">
        <v>310</v>
      </c>
      <c r="D78" s="83" t="s">
        <v>410</v>
      </c>
      <c r="E78" s="83" t="s">
        <v>411</v>
      </c>
      <c r="F78" s="113" t="s">
        <v>412</v>
      </c>
      <c r="G78" s="120" t="s">
        <v>307</v>
      </c>
      <c r="H78" s="84" t="s">
        <v>409</v>
      </c>
      <c r="I78" s="88" t="s">
        <v>298</v>
      </c>
      <c r="J78" s="92"/>
      <c r="K78" s="92"/>
      <c r="L78" s="85" t="s">
        <v>403</v>
      </c>
    </row>
    <row r="79" spans="1:13" ht="39" thickBot="1">
      <c r="A79" s="94" t="str">
        <f t="shared" si="2"/>
        <v>127_Ed2_006</v>
      </c>
      <c r="B79" s="94" t="str">
        <f t="shared" si="1"/>
        <v>127_0078</v>
      </c>
      <c r="C79" s="42" t="s">
        <v>310</v>
      </c>
      <c r="D79" s="83" t="s">
        <v>413</v>
      </c>
      <c r="E79" s="83" t="s">
        <v>414</v>
      </c>
      <c r="F79" s="113" t="s">
        <v>415</v>
      </c>
      <c r="G79" s="120" t="s">
        <v>307</v>
      </c>
      <c r="H79" s="84" t="s">
        <v>409</v>
      </c>
      <c r="I79" s="88" t="s">
        <v>298</v>
      </c>
      <c r="J79" s="92"/>
      <c r="K79" s="92"/>
      <c r="L79" s="85" t="s">
        <v>403</v>
      </c>
    </row>
    <row r="80" spans="1:13" ht="51.75" thickBot="1">
      <c r="A80" s="94" t="str">
        <f t="shared" si="2"/>
        <v>127_Ed2_007</v>
      </c>
      <c r="B80" s="94" t="str">
        <f t="shared" si="1"/>
        <v>127_0079</v>
      </c>
      <c r="C80" s="42" t="s">
        <v>313</v>
      </c>
      <c r="D80" s="83" t="s">
        <v>416</v>
      </c>
      <c r="E80" s="83" t="s">
        <v>417</v>
      </c>
      <c r="F80" s="113" t="s">
        <v>418</v>
      </c>
      <c r="G80" s="120"/>
      <c r="H80" s="84"/>
      <c r="I80" s="88" t="s">
        <v>298</v>
      </c>
      <c r="J80" s="92"/>
      <c r="K80" s="92"/>
      <c r="L80" s="85" t="s">
        <v>222</v>
      </c>
    </row>
    <row r="81" spans="1:12" ht="39" thickBot="1">
      <c r="A81" s="94" t="str">
        <f t="shared" si="2"/>
        <v>127_Ed2_008</v>
      </c>
      <c r="B81" s="94" t="str">
        <f t="shared" si="1"/>
        <v>127_0080</v>
      </c>
      <c r="C81" s="42" t="s">
        <v>313</v>
      </c>
      <c r="D81" s="83" t="s">
        <v>419</v>
      </c>
      <c r="E81" s="80" t="s">
        <v>420</v>
      </c>
      <c r="F81" s="113" t="s">
        <v>421</v>
      </c>
      <c r="G81" s="120" t="s">
        <v>307</v>
      </c>
      <c r="H81" s="84" t="s">
        <v>391</v>
      </c>
      <c r="I81" s="88" t="s">
        <v>298</v>
      </c>
      <c r="J81" s="92"/>
      <c r="K81" s="92"/>
      <c r="L81" s="85" t="s">
        <v>222</v>
      </c>
    </row>
    <row r="82" spans="1:12" ht="26.25" thickBot="1">
      <c r="A82" s="94" t="str">
        <f t="shared" si="2"/>
        <v>127_Ed2_009</v>
      </c>
      <c r="B82" s="94" t="str">
        <f t="shared" si="1"/>
        <v>127_0081</v>
      </c>
      <c r="C82" s="42" t="s">
        <v>313</v>
      </c>
      <c r="D82" s="60" t="s">
        <v>422</v>
      </c>
      <c r="E82" s="83" t="s">
        <v>423</v>
      </c>
      <c r="F82" s="113" t="s">
        <v>424</v>
      </c>
      <c r="G82" s="120" t="s">
        <v>307</v>
      </c>
      <c r="H82" s="84" t="s">
        <v>448</v>
      </c>
      <c r="I82" s="88" t="s">
        <v>31</v>
      </c>
      <c r="J82" s="92"/>
      <c r="K82" s="92"/>
      <c r="L82" s="85" t="s">
        <v>222</v>
      </c>
    </row>
    <row r="83" spans="1:12" ht="26.25" thickBot="1">
      <c r="A83" s="94" t="str">
        <f t="shared" si="2"/>
        <v>127_Ed2_010</v>
      </c>
      <c r="B83" s="94" t="str">
        <f t="shared" si="1"/>
        <v>127_0082</v>
      </c>
      <c r="C83" s="42" t="s">
        <v>313</v>
      </c>
      <c r="D83" s="83" t="s">
        <v>425</v>
      </c>
      <c r="E83" s="83" t="s">
        <v>426</v>
      </c>
      <c r="F83" s="114" t="s">
        <v>427</v>
      </c>
      <c r="G83" s="120" t="s">
        <v>307</v>
      </c>
      <c r="H83" s="84" t="s">
        <v>428</v>
      </c>
      <c r="I83" s="92" t="s">
        <v>31</v>
      </c>
      <c r="J83" s="92"/>
      <c r="K83" s="92"/>
      <c r="L83" s="115" t="s">
        <v>222</v>
      </c>
    </row>
    <row r="84" spans="1:12" ht="39" thickBot="1">
      <c r="A84" s="94" t="str">
        <f t="shared" si="2"/>
        <v>127_Ed2_011</v>
      </c>
      <c r="B84" s="94" t="str">
        <f t="shared" si="1"/>
        <v>127_0083</v>
      </c>
      <c r="C84" s="42" t="s">
        <v>313</v>
      </c>
      <c r="D84" s="83" t="s">
        <v>429</v>
      </c>
      <c r="E84" s="83" t="s">
        <v>430</v>
      </c>
      <c r="F84" s="114" t="s">
        <v>427</v>
      </c>
      <c r="G84" s="120" t="s">
        <v>307</v>
      </c>
      <c r="H84" s="84" t="s">
        <v>428</v>
      </c>
      <c r="I84" s="92" t="s">
        <v>31</v>
      </c>
      <c r="J84" s="92"/>
      <c r="K84" s="92"/>
      <c r="L84" s="115" t="s">
        <v>222</v>
      </c>
    </row>
    <row r="85" spans="1:12" ht="39" thickBot="1">
      <c r="A85" s="94" t="str">
        <f t="shared" si="2"/>
        <v>127_Ed2_012</v>
      </c>
      <c r="B85" s="94" t="str">
        <f t="shared" si="1"/>
        <v>127_0084</v>
      </c>
      <c r="C85" s="42" t="s">
        <v>313</v>
      </c>
      <c r="D85" s="83" t="s">
        <v>431</v>
      </c>
      <c r="E85" s="83" t="s">
        <v>432</v>
      </c>
      <c r="F85" s="114" t="s">
        <v>433</v>
      </c>
      <c r="G85" s="120" t="s">
        <v>307</v>
      </c>
      <c r="H85" s="84" t="s">
        <v>434</v>
      </c>
      <c r="I85" s="92" t="s">
        <v>31</v>
      </c>
      <c r="J85" s="92" t="s">
        <v>298</v>
      </c>
      <c r="K85" s="92"/>
      <c r="L85" s="115" t="s">
        <v>222</v>
      </c>
    </row>
    <row r="86" spans="1:12" ht="39" thickBot="1">
      <c r="A86" s="94" t="str">
        <f t="shared" si="2"/>
        <v>127_Ed2_013</v>
      </c>
      <c r="B86" s="94" t="str">
        <f t="shared" si="1"/>
        <v>127_0085</v>
      </c>
      <c r="C86" s="90" t="s">
        <v>313</v>
      </c>
      <c r="D86" s="88" t="s">
        <v>382</v>
      </c>
      <c r="E86" s="88" t="s">
        <v>383</v>
      </c>
      <c r="F86" s="88" t="s">
        <v>384</v>
      </c>
      <c r="G86" s="89" t="s">
        <v>306</v>
      </c>
      <c r="H86" s="90" t="s">
        <v>385</v>
      </c>
      <c r="I86" s="92" t="s">
        <v>298</v>
      </c>
      <c r="L86" s="88" t="s">
        <v>222</v>
      </c>
    </row>
    <row r="87" spans="1:12" ht="26.25" thickBot="1">
      <c r="A87" s="94" t="str">
        <f t="shared" si="2"/>
        <v>127_Ed2_014</v>
      </c>
      <c r="B87" s="94" t="str">
        <f t="shared" si="1"/>
        <v>127_0086</v>
      </c>
      <c r="C87" s="90" t="s">
        <v>310</v>
      </c>
      <c r="D87" s="88" t="s">
        <v>386</v>
      </c>
      <c r="E87" s="88" t="s">
        <v>387</v>
      </c>
      <c r="F87" s="88" t="s">
        <v>388</v>
      </c>
      <c r="G87" s="89" t="s">
        <v>306</v>
      </c>
      <c r="H87" s="90">
        <v>7.3</v>
      </c>
      <c r="I87" s="92" t="s">
        <v>298</v>
      </c>
      <c r="L87" s="88" t="s">
        <v>223</v>
      </c>
    </row>
    <row r="88" spans="1:12" ht="26.25" thickBot="1">
      <c r="A88" s="94" t="str">
        <f t="shared" si="2"/>
        <v>127_Ed2_015</v>
      </c>
      <c r="B88" s="94" t="str">
        <f t="shared" si="1"/>
        <v>127_0087</v>
      </c>
      <c r="C88" s="90" t="s">
        <v>310</v>
      </c>
      <c r="D88" s="88" t="s">
        <v>449</v>
      </c>
      <c r="E88" s="88" t="s">
        <v>389</v>
      </c>
      <c r="F88" s="88" t="s">
        <v>390</v>
      </c>
      <c r="G88" s="89" t="s">
        <v>307</v>
      </c>
      <c r="H88" s="90" t="s">
        <v>391</v>
      </c>
      <c r="I88" s="92" t="s">
        <v>298</v>
      </c>
      <c r="L88" s="88" t="s">
        <v>378</v>
      </c>
    </row>
    <row r="89" spans="1:12" ht="26.25" thickBot="1">
      <c r="A89" s="94" t="str">
        <f t="shared" si="2"/>
        <v>127_Ed2_016</v>
      </c>
      <c r="B89" s="94" t="str">
        <f t="shared" si="1"/>
        <v>127_0088</v>
      </c>
      <c r="C89" s="90" t="s">
        <v>313</v>
      </c>
      <c r="D89" s="88" t="s">
        <v>392</v>
      </c>
      <c r="E89" s="88" t="s">
        <v>393</v>
      </c>
      <c r="F89" s="88" t="s">
        <v>394</v>
      </c>
      <c r="G89" s="89" t="s">
        <v>307</v>
      </c>
      <c r="H89" s="90" t="s">
        <v>391</v>
      </c>
      <c r="I89" s="92" t="s">
        <v>298</v>
      </c>
      <c r="L89" s="88" t="s">
        <v>378</v>
      </c>
    </row>
    <row r="90" spans="1:12" ht="26.25" thickBot="1">
      <c r="A90" s="94" t="str">
        <f t="shared" si="2"/>
        <v>127_Ed2_017</v>
      </c>
      <c r="B90" s="94" t="str">
        <f t="shared" si="1"/>
        <v>127_0089</v>
      </c>
      <c r="C90" s="90" t="s">
        <v>313</v>
      </c>
      <c r="D90" s="88" t="s">
        <v>395</v>
      </c>
      <c r="E90" s="88" t="s">
        <v>396</v>
      </c>
      <c r="F90" s="88" t="s">
        <v>397</v>
      </c>
      <c r="G90" s="89" t="s">
        <v>307</v>
      </c>
      <c r="H90" s="90" t="s">
        <v>362</v>
      </c>
      <c r="I90" s="92" t="s">
        <v>298</v>
      </c>
      <c r="L90" s="88" t="s">
        <v>378</v>
      </c>
    </row>
    <row r="91" spans="1:12" ht="39" thickBot="1">
      <c r="A91" s="94" t="str">
        <f t="shared" si="2"/>
        <v>127_Ed2_018</v>
      </c>
      <c r="B91" s="94" t="str">
        <f t="shared" si="1"/>
        <v>127_0090</v>
      </c>
      <c r="C91" s="90" t="s">
        <v>313</v>
      </c>
      <c r="D91" s="88" t="s">
        <v>398</v>
      </c>
      <c r="E91" s="88" t="s">
        <v>399</v>
      </c>
      <c r="F91" s="88" t="s">
        <v>400</v>
      </c>
      <c r="G91" s="89" t="s">
        <v>321</v>
      </c>
      <c r="I91" s="92" t="s">
        <v>298</v>
      </c>
      <c r="L91" s="88" t="s">
        <v>404</v>
      </c>
    </row>
    <row r="92" spans="1:12" ht="26.25" thickBot="1">
      <c r="A92" s="94" t="str">
        <f t="shared" si="2"/>
        <v>127_Ed2_019</v>
      </c>
      <c r="B92" s="94" t="str">
        <f t="shared" si="1"/>
        <v>127_0091</v>
      </c>
      <c r="C92" s="90" t="s">
        <v>313</v>
      </c>
      <c r="D92" s="88" t="s">
        <v>450</v>
      </c>
      <c r="E92" s="88" t="s">
        <v>451</v>
      </c>
      <c r="F92" s="88" t="s">
        <v>452</v>
      </c>
      <c r="G92" s="89" t="s">
        <v>307</v>
      </c>
      <c r="H92" s="90" t="s">
        <v>385</v>
      </c>
      <c r="I92" s="92" t="s">
        <v>298</v>
      </c>
      <c r="J92" s="92"/>
      <c r="K92" s="92"/>
      <c r="L92" s="88" t="s">
        <v>378</v>
      </c>
    </row>
    <row r="93" spans="1:12" ht="26.25" thickBot="1">
      <c r="A93" s="94" t="str">
        <f t="shared" si="2"/>
        <v>127_Ed2_020</v>
      </c>
      <c r="B93" s="94" t="str">
        <f t="shared" si="1"/>
        <v>127_0092</v>
      </c>
      <c r="C93" s="98" t="s">
        <v>310</v>
      </c>
      <c r="D93" s="118" t="s">
        <v>453</v>
      </c>
      <c r="E93" s="83" t="s">
        <v>454</v>
      </c>
      <c r="F93" s="114" t="s">
        <v>455</v>
      </c>
      <c r="G93" s="120" t="s">
        <v>307</v>
      </c>
      <c r="H93" s="119">
        <v>2.4</v>
      </c>
      <c r="I93" s="92" t="s">
        <v>298</v>
      </c>
      <c r="J93" s="92"/>
      <c r="K93" s="92"/>
      <c r="L93" s="115" t="s">
        <v>378</v>
      </c>
    </row>
    <row r="94" spans="1:12" ht="30.75" thickBot="1">
      <c r="A94" s="94" t="str">
        <f t="shared" si="2"/>
        <v>127_Ed2_021</v>
      </c>
      <c r="B94" s="94" t="str">
        <f t="shared" si="1"/>
        <v>127_0093</v>
      </c>
      <c r="C94" s="98" t="s">
        <v>313</v>
      </c>
      <c r="D94" s="121" t="s">
        <v>456</v>
      </c>
      <c r="E94" s="91" t="s">
        <v>457</v>
      </c>
      <c r="F94" s="88" t="s">
        <v>458</v>
      </c>
      <c r="G94" s="106" t="s">
        <v>307</v>
      </c>
      <c r="H94" s="90" t="s">
        <v>459</v>
      </c>
      <c r="I94" s="92" t="s">
        <v>298</v>
      </c>
      <c r="L94" s="88" t="s">
        <v>378</v>
      </c>
    </row>
    <row r="95" spans="1:12" ht="51.75" thickBot="1">
      <c r="A95" s="94" t="str">
        <f t="shared" si="2"/>
        <v>127_Ed2_022</v>
      </c>
      <c r="B95" s="94" t="str">
        <f t="shared" si="1"/>
        <v>127_0094</v>
      </c>
      <c r="C95" s="98" t="s">
        <v>313</v>
      </c>
      <c r="D95" s="88" t="s">
        <v>460</v>
      </c>
      <c r="E95" s="91" t="s">
        <v>462</v>
      </c>
      <c r="F95" s="88" t="s">
        <v>461</v>
      </c>
      <c r="G95" s="106" t="s">
        <v>307</v>
      </c>
      <c r="H95" s="90" t="s">
        <v>459</v>
      </c>
      <c r="I95" s="92" t="s">
        <v>298</v>
      </c>
      <c r="L95" s="88" t="s">
        <v>378</v>
      </c>
    </row>
    <row r="96" spans="1:12" ht="39" thickBot="1">
      <c r="A96" s="94" t="str">
        <f t="shared" si="2"/>
        <v>127_Ed2_023</v>
      </c>
      <c r="B96" s="94" t="str">
        <f t="shared" si="1"/>
        <v>127_0095</v>
      </c>
      <c r="C96" s="98" t="s">
        <v>313</v>
      </c>
      <c r="D96" s="88" t="s">
        <v>466</v>
      </c>
      <c r="E96" s="91" t="s">
        <v>463</v>
      </c>
      <c r="F96" s="88" t="s">
        <v>464</v>
      </c>
      <c r="G96" s="106" t="s">
        <v>307</v>
      </c>
      <c r="H96" s="90" t="s">
        <v>465</v>
      </c>
      <c r="I96" s="92" t="s">
        <v>298</v>
      </c>
    </row>
    <row r="97" spans="1:13" ht="26.25" thickBot="1">
      <c r="A97" s="94" t="str">
        <f t="shared" si="2"/>
        <v>127_Ed2_024</v>
      </c>
      <c r="B97" s="94" t="str">
        <f t="shared" si="1"/>
        <v>127_0096</v>
      </c>
      <c r="C97" s="90" t="s">
        <v>310</v>
      </c>
      <c r="D97" s="88" t="s">
        <v>467</v>
      </c>
      <c r="E97" s="88" t="s">
        <v>468</v>
      </c>
      <c r="F97" s="88" t="s">
        <v>469</v>
      </c>
      <c r="G97" s="89" t="s">
        <v>321</v>
      </c>
      <c r="I97" s="92" t="s">
        <v>298</v>
      </c>
      <c r="J97" s="92"/>
      <c r="K97" s="92"/>
      <c r="L97" s="88" t="s">
        <v>470</v>
      </c>
      <c r="M97" s="82" t="s">
        <v>471</v>
      </c>
    </row>
    <row r="98" spans="1:13" ht="51.75" thickBot="1">
      <c r="A98" s="94" t="str">
        <f t="shared" si="2"/>
        <v>127_Ed2_025</v>
      </c>
      <c r="B98" s="94" t="str">
        <f t="shared" si="1"/>
        <v>127_0097</v>
      </c>
      <c r="C98" s="90" t="s">
        <v>313</v>
      </c>
      <c r="D98" s="88" t="s">
        <v>472</v>
      </c>
      <c r="E98" s="88" t="s">
        <v>473</v>
      </c>
      <c r="F98" s="88" t="s">
        <v>474</v>
      </c>
      <c r="G98" s="89" t="s">
        <v>321</v>
      </c>
      <c r="I98" s="92" t="s">
        <v>298</v>
      </c>
      <c r="J98" s="92"/>
      <c r="K98" s="92"/>
      <c r="L98" s="88" t="s">
        <v>378</v>
      </c>
      <c r="M98" s="82" t="s">
        <v>475</v>
      </c>
    </row>
    <row r="99" spans="1:13" thickBot="1">
      <c r="C99" s="98"/>
      <c r="E99" s="108"/>
    </row>
    <row r="100" spans="1:13" thickBot="1">
      <c r="C100" s="98"/>
      <c r="E100" s="108"/>
    </row>
    <row r="101" spans="1:13" thickBot="1">
      <c r="C101" s="98"/>
      <c r="E101" s="108"/>
    </row>
    <row r="102" spans="1:13" thickBot="1">
      <c r="C102" s="98"/>
      <c r="E102" s="108"/>
    </row>
    <row r="103" spans="1:13" thickBot="1">
      <c r="C103" s="98"/>
      <c r="E103" s="108"/>
    </row>
    <row r="104" spans="1:13" thickBot="1">
      <c r="C104" s="98"/>
      <c r="E104" s="108"/>
    </row>
    <row r="105" spans="1:13" thickBot="1">
      <c r="C105" s="98"/>
      <c r="E105" s="108"/>
    </row>
    <row r="106" spans="1:13" thickBot="1">
      <c r="C106" s="98"/>
      <c r="E106" s="108"/>
    </row>
    <row r="107" spans="1:13" thickBot="1">
      <c r="C107" s="98"/>
      <c r="E107" s="108"/>
    </row>
    <row r="108" spans="1:13" thickBot="1">
      <c r="C108" s="98"/>
      <c r="E108" s="108"/>
    </row>
    <row r="109" spans="1:13" thickBot="1">
      <c r="C109" s="98"/>
      <c r="E109" s="108"/>
    </row>
    <row r="110" spans="1:13" thickBot="1">
      <c r="C110" s="98"/>
      <c r="E110" s="108"/>
    </row>
    <row r="111" spans="1:13" thickBot="1">
      <c r="C111" s="98"/>
      <c r="E111" s="108"/>
    </row>
    <row r="112" spans="1:13" thickBot="1">
      <c r="C112" s="98"/>
      <c r="E112" s="108"/>
    </row>
    <row r="113" spans="3:5" thickBot="1">
      <c r="C113" s="98"/>
      <c r="E113" s="108"/>
    </row>
    <row r="114" spans="3:5" thickBot="1">
      <c r="C114" s="98"/>
      <c r="E114" s="108"/>
    </row>
    <row r="115" spans="3:5" thickBot="1">
      <c r="C115" s="98"/>
      <c r="E115" s="108"/>
    </row>
    <row r="116" spans="3:5" thickBot="1">
      <c r="C116" s="98"/>
      <c r="E116" s="108"/>
    </row>
    <row r="117" spans="3:5" thickBot="1">
      <c r="C117" s="98"/>
      <c r="E117" s="108"/>
    </row>
    <row r="118" spans="3:5" thickBot="1">
      <c r="C118" s="98"/>
      <c r="E118" s="108"/>
    </row>
    <row r="119" spans="3:5" thickBot="1">
      <c r="C119" s="98"/>
      <c r="E119" s="108"/>
    </row>
    <row r="120" spans="3:5" thickBot="1">
      <c r="C120" s="98"/>
      <c r="E120" s="108"/>
    </row>
    <row r="121" spans="3:5" thickBot="1">
      <c r="C121" s="98"/>
      <c r="E121" s="108"/>
    </row>
    <row r="122" spans="3:5" thickBot="1">
      <c r="C122" s="98"/>
      <c r="E122" s="108"/>
    </row>
    <row r="123" spans="3:5" thickBot="1">
      <c r="C123" s="98"/>
      <c r="E123" s="108"/>
    </row>
    <row r="124" spans="3:5" thickBot="1">
      <c r="C124" s="98"/>
      <c r="E124" s="108"/>
    </row>
    <row r="125" spans="3:5" thickBot="1">
      <c r="C125" s="98"/>
      <c r="E125" s="108"/>
    </row>
    <row r="126" spans="3:5" thickBot="1">
      <c r="C126" s="98"/>
      <c r="E126" s="108"/>
    </row>
    <row r="127" spans="3:5" thickBot="1">
      <c r="C127" s="98"/>
      <c r="E127" s="108"/>
    </row>
    <row r="128" spans="3:5" thickBot="1">
      <c r="C128" s="98"/>
      <c r="E128" s="108"/>
    </row>
    <row r="129" spans="3:5" thickBot="1">
      <c r="C129" s="98"/>
      <c r="E129" s="108"/>
    </row>
    <row r="130" spans="3:5" thickBot="1">
      <c r="C130" s="98"/>
      <c r="E130" s="108"/>
    </row>
    <row r="131" spans="3:5" thickBot="1">
      <c r="C131" s="98"/>
      <c r="E131" s="108"/>
    </row>
    <row r="132" spans="3:5" thickBot="1">
      <c r="C132" s="98"/>
      <c r="E132" s="108"/>
    </row>
    <row r="133" spans="3:5" thickBot="1">
      <c r="C133" s="98"/>
      <c r="E133" s="108"/>
    </row>
    <row r="134" spans="3:5" thickBot="1">
      <c r="C134" s="98"/>
      <c r="E134" s="108"/>
    </row>
    <row r="135" spans="3:5" thickBot="1">
      <c r="C135" s="98"/>
      <c r="E135" s="108"/>
    </row>
    <row r="136" spans="3:5" thickBot="1">
      <c r="C136" s="98"/>
      <c r="E136" s="108"/>
    </row>
    <row r="137" spans="3:5" thickBot="1">
      <c r="C137" s="98"/>
      <c r="E137" s="108"/>
    </row>
    <row r="138" spans="3:5" thickBot="1">
      <c r="C138" s="98"/>
      <c r="E138" s="108"/>
    </row>
  </sheetData>
  <autoFilter ref="K1:K141" xr:uid="{00000000-0001-0000-0100-000000000000}">
    <filterColumn colId="0">
      <filters blank="1"/>
    </filterColumn>
  </autoFilter>
  <dataValidations count="1">
    <dataValidation type="list" allowBlank="1" showInputMessage="1" showErrorMessage="1" sqref="C2:C138" xr:uid="{1FB138CC-14EF-4406-9E7B-EC5039F9ECE1}">
      <formula1>"C,E,W"</formula1>
    </dataValidation>
  </dataValidations>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9043F2-D9E8-480F-B62B-6D0B563EE110}">
  <dimension ref="A1:Q132"/>
  <sheetViews>
    <sheetView zoomScale="110" zoomScaleNormal="110" workbookViewId="0">
      <selection activeCell="A2" sqref="A2"/>
    </sheetView>
  </sheetViews>
  <sheetFormatPr defaultColWidth="8.7109375" defaultRowHeight="12.75"/>
  <cols>
    <col min="1" max="1" width="13" style="76" customWidth="1"/>
    <col min="2" max="2" width="11.28515625" style="79" customWidth="1"/>
    <col min="3" max="3" width="12.7109375" style="76" customWidth="1"/>
    <col min="4" max="4" width="42.28515625" style="3" customWidth="1"/>
    <col min="5" max="5" width="58.85546875" style="3" customWidth="1"/>
    <col min="6" max="6" width="34.7109375" style="3" customWidth="1"/>
    <col min="7" max="7" width="19.28515625" style="77" customWidth="1"/>
    <col min="8" max="8" width="16.28515625" style="78" customWidth="1"/>
    <col min="9" max="9" width="10.42578125" style="3" customWidth="1"/>
    <col min="10" max="10" width="8.28515625" style="3" customWidth="1"/>
    <col min="11" max="11" width="8" style="3" customWidth="1"/>
    <col min="12" max="12" width="9.28515625" style="3" customWidth="1"/>
    <col min="13" max="13" width="27.140625" style="3" customWidth="1"/>
    <col min="14" max="16384" width="8.7109375" style="3"/>
  </cols>
  <sheetData>
    <row r="1" spans="1:17" ht="26.25" thickBot="1">
      <c r="A1" s="4" t="s">
        <v>14</v>
      </c>
      <c r="B1" s="4" t="s">
        <v>15</v>
      </c>
      <c r="C1" s="4" t="s">
        <v>16</v>
      </c>
      <c r="D1" s="4" t="s">
        <v>17</v>
      </c>
      <c r="E1" s="4" t="s">
        <v>18</v>
      </c>
      <c r="F1" s="4" t="s">
        <v>19</v>
      </c>
      <c r="G1" s="53" t="s">
        <v>20</v>
      </c>
      <c r="H1" s="55" t="s">
        <v>21</v>
      </c>
      <c r="I1" s="7" t="s">
        <v>22</v>
      </c>
      <c r="J1" s="7" t="s">
        <v>23</v>
      </c>
      <c r="K1" s="7" t="s">
        <v>24</v>
      </c>
      <c r="L1" s="71" t="s">
        <v>224</v>
      </c>
      <c r="M1" s="71" t="s">
        <v>225</v>
      </c>
    </row>
    <row r="2" spans="1:17" ht="25.5">
      <c r="A2" s="45" t="str" cm="1">
        <f t="array" ref="A2:M29">_xlfn._xlws.FILTER(S127Checks!A2:M73,NOT(ISBLANK(S127Checks!K2:K73)),"")</f>
        <v>127_Ed1_101</v>
      </c>
      <c r="B2" s="46" t="str">
        <v>127_0002</v>
      </c>
      <c r="C2" s="5" t="str">
        <v>E</v>
      </c>
      <c r="D2" s="59" t="str">
        <v>The cell is larger than 20Mb in size.</v>
      </c>
      <c r="E2" s="59" t="str">
        <v>If the cell file size is greater than 20 MiB.</v>
      </c>
      <c r="F2" s="59" t="str">
        <v>Ensure that the cell is not larger than 20 MiB.</v>
      </c>
      <c r="G2" s="42" t="str">
        <v>PS</v>
      </c>
      <c r="H2" s="44">
        <v>9.8000000000000007</v>
      </c>
      <c r="I2" s="47" t="str">
        <v>1.0.0</v>
      </c>
      <c r="J2" s="72">
        <v>0</v>
      </c>
      <c r="K2" s="6" t="str">
        <v>2.0.0</v>
      </c>
      <c r="L2" s="43" t="str">
        <v>B, S</v>
      </c>
      <c r="M2" s="43" t="str">
        <v>Covered by generic check(s) in S-158:100.</v>
      </c>
      <c r="N2" s="73"/>
      <c r="O2" s="73"/>
      <c r="P2" s="73"/>
      <c r="Q2" s="73"/>
    </row>
    <row r="3" spans="1:17" ht="38.25">
      <c r="A3" s="45" t="str">
        <v>127_Ed1_104</v>
      </c>
      <c r="B3" s="46" t="str">
        <v>127_0005</v>
      </c>
      <c r="C3" s="5" t="str">
        <v>E</v>
      </c>
      <c r="D3" s="60" t="str">
        <v>Mandatory attributes are not encoded.</v>
      </c>
      <c r="E3" s="60" t="str">
        <v>If any mandatory attributes are not present.</v>
      </c>
      <c r="F3" s="59" t="str">
        <v>Populate mandatory attributes (If unknown encode attribute with empty value).</v>
      </c>
      <c r="G3" s="42" t="str">
        <v>PS</v>
      </c>
      <c r="H3" s="44">
        <v>10.5</v>
      </c>
      <c r="I3" s="8" t="str">
        <v>1.0.0</v>
      </c>
      <c r="J3" s="72">
        <v>0</v>
      </c>
      <c r="K3" s="6" t="str">
        <v>2.0.0</v>
      </c>
      <c r="L3" s="43" t="str">
        <v>B, U</v>
      </c>
      <c r="M3" s="43" t="str">
        <v>Covered by generic check(s) in S-158:100.</v>
      </c>
    </row>
    <row r="4" spans="1:17" ht="38.25">
      <c r="A4" s="45" t="str">
        <v>127_Ed1_107</v>
      </c>
      <c r="B4" s="46" t="str">
        <v>127_0008</v>
      </c>
      <c r="C4" s="5" t="str">
        <v>E</v>
      </c>
      <c r="D4" s="60" t="str">
        <v>Wrong association used.</v>
      </c>
      <c r="E4" s="60" t="str">
        <v>For each association between features instances, features instances and information instances, and between information instances that is not defined in the feature catalogue.</v>
      </c>
      <c r="F4" s="59" t="str">
        <v>Use correct association type.</v>
      </c>
      <c r="G4" s="42" t="str">
        <v>Logical consistency</v>
      </c>
      <c r="H4" s="44">
        <v>0</v>
      </c>
      <c r="I4" s="8" t="str">
        <v>1.0.0</v>
      </c>
      <c r="J4" s="72">
        <v>0</v>
      </c>
      <c r="K4" s="6" t="str">
        <v>2.0.0</v>
      </c>
      <c r="L4" s="43" t="str">
        <v>B, U</v>
      </c>
      <c r="M4" s="43" t="str">
        <v>Covered by generic check(s) in S-158:100.</v>
      </c>
    </row>
    <row r="5" spans="1:17" ht="25.5">
      <c r="A5" s="45" t="str">
        <v>127_Ed1_108</v>
      </c>
      <c r="B5" s="46" t="str">
        <v>127_0009</v>
      </c>
      <c r="C5" s="5" t="str">
        <v>E</v>
      </c>
      <c r="D5" s="60" t="str">
        <v>Wrong role used.</v>
      </c>
      <c r="E5" s="60" t="str">
        <v>For each role name on associations that is not defined in the feature catalogue.</v>
      </c>
      <c r="F5" s="60" t="str">
        <v>Use correct role name.</v>
      </c>
      <c r="G5" s="42" t="str">
        <v>Logical consistency</v>
      </c>
      <c r="H5" s="44">
        <v>0</v>
      </c>
      <c r="I5" s="8" t="str">
        <v>1.0.0</v>
      </c>
      <c r="J5" s="72">
        <v>0</v>
      </c>
      <c r="K5" s="6" t="str">
        <v>2.0.0</v>
      </c>
      <c r="L5" s="43" t="str">
        <v>B, U</v>
      </c>
      <c r="M5" s="43" t="str">
        <v>Covered by generic check(s) in S-158:100.</v>
      </c>
    </row>
    <row r="6" spans="1:17" ht="25.5">
      <c r="A6" s="45" t="str">
        <v>127_Ed1_109</v>
      </c>
      <c r="B6" s="46" t="str">
        <v>127_0010</v>
      </c>
      <c r="C6" s="5" t="str">
        <v>E</v>
      </c>
      <c r="D6" s="60" t="str">
        <v>Unknown association is used.</v>
      </c>
      <c r="E6" s="60" t="str">
        <v>For each association that is not defined in the feature catalogue.</v>
      </c>
      <c r="F6" s="60" t="str">
        <v>Use association that is defined in the feature catalogue.</v>
      </c>
      <c r="G6" s="42" t="str">
        <v>Logical consistency</v>
      </c>
      <c r="H6" s="44">
        <v>0</v>
      </c>
      <c r="I6" s="8" t="str">
        <v>1.0.0</v>
      </c>
      <c r="J6" s="74">
        <v>0</v>
      </c>
      <c r="K6" s="48" t="str">
        <v>2.0.0</v>
      </c>
      <c r="L6" s="43" t="str">
        <v>B, U</v>
      </c>
      <c r="M6" s="43" t="str">
        <v>Covered by generic check(s) in S-158:100.</v>
      </c>
    </row>
    <row r="7" spans="1:17" s="43" customFormat="1" ht="25.5">
      <c r="A7" s="45" t="str">
        <v>127_Ed1_110</v>
      </c>
      <c r="B7" s="46" t="str">
        <v>127_0011</v>
      </c>
      <c r="C7" s="42" t="str">
        <v>E</v>
      </c>
      <c r="D7" s="61" t="str">
        <v>Unknown role name is used.</v>
      </c>
      <c r="E7" s="61" t="str">
        <v>For each role name that is not defined in the feature catalogue.</v>
      </c>
      <c r="F7" s="61" t="str">
        <v>Use role name that is defined in the feature catalogue.</v>
      </c>
      <c r="G7" s="42" t="str">
        <v>Logical consistency</v>
      </c>
      <c r="H7" s="44">
        <v>0</v>
      </c>
      <c r="I7" s="47" t="str">
        <v>1.0.0</v>
      </c>
      <c r="J7" s="48">
        <v>0</v>
      </c>
      <c r="K7" s="48" t="str">
        <v>2.0.0</v>
      </c>
      <c r="L7" s="43" t="str">
        <v>B, U</v>
      </c>
      <c r="M7" s="43" t="str">
        <v>Covered by generic check(s) in S-158:100.</v>
      </c>
    </row>
    <row r="8" spans="1:17" s="43" customFormat="1" ht="25.5">
      <c r="A8" s="45" t="str">
        <v>127_Ed1_111</v>
      </c>
      <c r="B8" s="46" t="str">
        <v>127_0012</v>
      </c>
      <c r="C8" s="42" t="str">
        <v>E</v>
      </c>
      <c r="D8" s="61" t="str">
        <v>Class is associated in an illegal association.</v>
      </c>
      <c r="E8" s="61" t="str">
        <v>For each association ensure associated classes are only those permitted by the feature catalogue.</v>
      </c>
      <c r="F8" s="61" t="str">
        <v>Ensure correct association is used between classes.</v>
      </c>
      <c r="G8" s="42" t="str">
        <v>Logical consistency</v>
      </c>
      <c r="H8" s="44">
        <v>0</v>
      </c>
      <c r="I8" s="47" t="str">
        <v>1.0.0</v>
      </c>
      <c r="J8" s="48">
        <v>0</v>
      </c>
      <c r="K8" s="48" t="str">
        <v>2.0.0</v>
      </c>
      <c r="L8" s="43" t="str">
        <v>B, U, S</v>
      </c>
      <c r="M8" s="43" t="str">
        <v>Covered by generic check(s) in S-158:100.</v>
      </c>
    </row>
    <row r="9" spans="1:17" ht="25.5">
      <c r="A9" s="45" t="str">
        <v>127_Ed1_112</v>
      </c>
      <c r="B9" s="46" t="str">
        <v>127_0013</v>
      </c>
      <c r="C9" s="5" t="str">
        <v>E</v>
      </c>
      <c r="D9" s="59" t="str">
        <v>Role name is used on an illegal association.</v>
      </c>
      <c r="E9" s="59" t="str">
        <v>For each role name ensure it is only used with permitted associations.</v>
      </c>
      <c r="F9" s="59" t="str">
        <v>Ensure correct role names are used on the association.</v>
      </c>
      <c r="G9" s="42" t="str">
        <v>Logical consistency</v>
      </c>
      <c r="H9" s="44">
        <v>0</v>
      </c>
      <c r="I9" s="8" t="str">
        <v>1.0.0</v>
      </c>
      <c r="J9" s="6">
        <v>0</v>
      </c>
      <c r="K9" s="48" t="str">
        <v>2.0.0</v>
      </c>
      <c r="L9" s="43" t="str">
        <v>B, U, S</v>
      </c>
      <c r="M9" s="43" t="str">
        <v>Covered by generic check(s) in S-158:100.</v>
      </c>
    </row>
    <row r="10" spans="1:17" ht="25.5">
      <c r="A10" s="45" t="str">
        <v>127_Ed1_113</v>
      </c>
      <c r="B10" s="46" t="str">
        <v>127_0014</v>
      </c>
      <c r="C10" s="5" t="str">
        <v>E</v>
      </c>
      <c r="D10" s="59" t="str">
        <v>Dataset does not conform to the GML schema.</v>
      </c>
      <c r="E10" s="59" t="str">
        <v>Dataset is not conformant to the GML schema.</v>
      </c>
      <c r="F10" s="59" t="str">
        <v>Ensure conformance to the GML schema.</v>
      </c>
      <c r="G10" s="42" t="str">
        <v>PS</v>
      </c>
      <c r="H10" s="44" t="str">
        <v>[10.1.1, 11.1]</v>
      </c>
      <c r="I10" s="8" t="str">
        <v>1.0.0</v>
      </c>
      <c r="J10" s="6">
        <v>0</v>
      </c>
      <c r="K10" s="48" t="str">
        <v>2.0.0</v>
      </c>
      <c r="L10" s="43" t="str">
        <v>B, U</v>
      </c>
      <c r="M10" s="3" t="str">
        <v>Covered by generic check(s) in S-158:100.</v>
      </c>
    </row>
    <row r="11" spans="1:17" ht="25.5">
      <c r="A11" s="45" t="str">
        <v>127_Ed1_121</v>
      </c>
      <c r="B11" s="46" t="str">
        <v>127_0022</v>
      </c>
      <c r="C11" s="5" t="str">
        <v>E</v>
      </c>
      <c r="D11" s="60" t="str">
        <v>File names are not in accordance with the Product Specification.</v>
      </c>
      <c r="E11" s="59" t="str">
        <v xml:space="preserve">If the file names in an exchange set are not in accordance with the Product Specification. </v>
      </c>
      <c r="F11" s="60" t="str">
        <v>Amend file names.</v>
      </c>
      <c r="G11" s="42" t="str">
        <v>PS</v>
      </c>
      <c r="H11" s="44" t="str">
        <v>13.3.2, 13.3.3</v>
      </c>
      <c r="I11" s="47" t="str">
        <v>1.0.0</v>
      </c>
      <c r="J11" s="6">
        <v>0</v>
      </c>
      <c r="K11" s="48" t="str">
        <v>2.0.0</v>
      </c>
      <c r="L11" s="43" t="str">
        <v>B, U</v>
      </c>
      <c r="M11" s="43">
        <v>0</v>
      </c>
    </row>
    <row r="12" spans="1:17" ht="25.5">
      <c r="A12" s="45" t="str">
        <v>127_Ed1_123 </v>
      </c>
      <c r="B12" s="46" t="str">
        <v>127_0024</v>
      </c>
      <c r="C12" s="5" t="str">
        <v>C</v>
      </c>
      <c r="D12" s="62" t="str">
        <v>Object has invalid feature class code.</v>
      </c>
      <c r="E12" s="62" t="str">
        <v>For each feature instance which does not have a valid feature class label/code as defined by the feature catalogue.</v>
      </c>
      <c r="F12" s="62" t="str">
        <v>Amend object class code.</v>
      </c>
      <c r="G12" s="42" t="str">
        <v>Logical consistency</v>
      </c>
      <c r="H12" s="44">
        <v>0</v>
      </c>
      <c r="I12" s="8" t="str">
        <v>1.0.0</v>
      </c>
      <c r="J12" s="6">
        <v>0</v>
      </c>
      <c r="K12" s="48" t="str">
        <v>2.0.0</v>
      </c>
      <c r="L12" s="43" t="str">
        <v>B, U</v>
      </c>
      <c r="M12" s="43" t="str">
        <v>Covered by generic check(s) in S-158:100.</v>
      </c>
    </row>
    <row r="13" spans="1:17" s="43" customFormat="1" ht="25.5">
      <c r="A13" s="45" t="str">
        <v>127_Ed1_124 </v>
      </c>
      <c r="B13" s="46" t="str">
        <v>127_0025</v>
      </c>
      <c r="C13" s="42" t="str">
        <v>C</v>
      </c>
      <c r="D13" s="60" t="str">
        <v>Attribute has invalid attribute label/code.</v>
      </c>
      <c r="E13" s="60" t="str">
        <v>For each attribute which does not have a valid attribute label/code as defined by the feature catalogue.</v>
      </c>
      <c r="F13" s="60" t="str">
        <v>Amend attribute label/code.</v>
      </c>
      <c r="G13" s="42" t="str">
        <v>Logical consistency</v>
      </c>
      <c r="H13" s="44">
        <v>0</v>
      </c>
      <c r="I13" s="47" t="str">
        <v>1.0.0</v>
      </c>
      <c r="J13" s="48">
        <v>0</v>
      </c>
      <c r="K13" s="48" t="str">
        <v>2.0.0</v>
      </c>
      <c r="L13" s="43" t="str">
        <v>B, U</v>
      </c>
      <c r="M13" s="43" t="str">
        <v>Covered by generic check(s) in S-158:100.</v>
      </c>
    </row>
    <row r="14" spans="1:17" s="43" customFormat="1" ht="38.25">
      <c r="A14" s="45" t="str">
        <v>127_Ed1_125</v>
      </c>
      <c r="B14" s="46" t="str">
        <v>127_0026</v>
      </c>
      <c r="C14" s="42" t="str">
        <v>E</v>
      </c>
      <c r="D14" s="60" t="str">
        <v>Attribute not permitted on feature class.</v>
      </c>
      <c r="E14" s="60" t="str">
        <v>For each feature object which contains attributes outside the list of permissible attributes for the feature class (as defined in the feature catalogue).</v>
      </c>
      <c r="F14" s="60" t="str">
        <v>Remove attribute.</v>
      </c>
      <c r="G14" s="42" t="str">
        <v>Logical consistency</v>
      </c>
      <c r="H14" s="44">
        <v>0</v>
      </c>
      <c r="I14" s="47" t="str">
        <v>1.0.0</v>
      </c>
      <c r="J14" s="48">
        <v>0</v>
      </c>
      <c r="K14" s="48" t="str">
        <v>2.0.0</v>
      </c>
      <c r="L14" s="43" t="str">
        <v>B, U</v>
      </c>
      <c r="M14" s="43" t="str">
        <v>Covered by generic check(s) in S-158:100.</v>
      </c>
    </row>
    <row r="15" spans="1:17" ht="25.5">
      <c r="A15" s="45" t="str">
        <v>127_Ed1_128</v>
      </c>
      <c r="B15" s="46" t="str">
        <v>127_0029</v>
      </c>
      <c r="C15" s="5" t="str">
        <v>E</v>
      </c>
      <c r="D15" s="63" t="str">
        <v>Too many instances of attribute.</v>
      </c>
      <c r="E15" s="63" t="str">
        <v>For each attribute instance where the total number of instances exceed the permitted number of instances</v>
      </c>
      <c r="F15" s="63" t="str">
        <v>Ensure correct attribute encoding.</v>
      </c>
      <c r="G15" s="42" t="str">
        <v>Logical consistency</v>
      </c>
      <c r="H15" s="44">
        <v>0</v>
      </c>
      <c r="I15" s="8" t="str">
        <v>1.0.0</v>
      </c>
      <c r="J15" s="6">
        <v>0</v>
      </c>
      <c r="K15" s="48" t="str">
        <v>2.0.0</v>
      </c>
      <c r="L15" s="43" t="str">
        <v>B, U</v>
      </c>
      <c r="M15" s="43" t="str">
        <v>Covered by generic check 100_0004</v>
      </c>
    </row>
    <row r="16" spans="1:17" s="43" customFormat="1" ht="25.5">
      <c r="A16" s="45" t="str">
        <v>127_Ed1_130</v>
      </c>
      <c r="B16" s="46" t="str">
        <v>127_0031</v>
      </c>
      <c r="C16" s="42" t="str">
        <v>E</v>
      </c>
      <c r="D16" s="68" t="str">
        <v>Periodic date range must have both dateEnd and dateStart.</v>
      </c>
      <c r="E16" s="60" t="str">
        <v>For each feature instance where periodicDateRange sub-attribute dateStart OR dateEnd is missing.</v>
      </c>
      <c r="F16" s="69" t="str">
        <v>Populate both dateStart and dateEnd.</v>
      </c>
      <c r="G16" s="42">
        <v>0</v>
      </c>
      <c r="H16" s="44">
        <v>0</v>
      </c>
      <c r="I16" s="47" t="str">
        <v>1.0.0</v>
      </c>
      <c r="J16" s="48">
        <v>0</v>
      </c>
      <c r="K16" s="48" t="str">
        <v>2.0.0</v>
      </c>
      <c r="L16" s="43" t="str">
        <v>B, U</v>
      </c>
      <c r="M16" s="43" t="str">
        <v>Covered by generic check 100_0004</v>
      </c>
    </row>
    <row r="17" spans="1:13" ht="25.5">
      <c r="A17" s="45" t="str">
        <v>127_Ed1_131</v>
      </c>
      <c r="B17" s="46" t="str">
        <v>127_0032</v>
      </c>
      <c r="C17" s="5" t="str">
        <v>E</v>
      </c>
      <c r="D17" s="63" t="str">
        <v>Object has dateEnd without a value of dateStart.</v>
      </c>
      <c r="E17" s="63" t="str">
        <v>For each feature instance where periodicDateRange subattribute is notNull AND dateStart is Null OR not Present.</v>
      </c>
      <c r="F17" s="63" t="str">
        <v>Populate dateStart or remove dateEnd.</v>
      </c>
      <c r="G17" s="42" t="str">
        <v>DCEG</v>
      </c>
      <c r="H17" s="44">
        <v>0</v>
      </c>
      <c r="I17" s="8" t="str">
        <v>1.0.0</v>
      </c>
      <c r="J17" s="6">
        <v>0</v>
      </c>
      <c r="K17" s="6" t="str">
        <v>2.0.0</v>
      </c>
      <c r="L17" s="43" t="str">
        <v>B, U</v>
      </c>
      <c r="M17" s="43" t="str">
        <v>Covered by generic check 100_0004</v>
      </c>
    </row>
    <row r="18" spans="1:13" ht="25.5">
      <c r="A18" s="45" t="str">
        <v>127_Ed1_135</v>
      </c>
      <c r="B18" s="46" t="str">
        <v>127_0036</v>
      </c>
      <c r="C18" s="5" t="str">
        <v>E</v>
      </c>
      <c r="D18" s="59" t="str">
        <v>File referenced in the dataset is not present in the exchange set.</v>
      </c>
      <c r="E18" s="59" t="str">
        <v>For each instance of a file referenced in the data and it is not present in the exchange set and not cancelled by discovery metadata</v>
      </c>
      <c r="F18" s="59" t="str">
        <v>Add file to exchange set or remove reference to file.</v>
      </c>
      <c r="G18" s="42" t="str">
        <v>PS</v>
      </c>
      <c r="H18" s="44">
        <v>13.1</v>
      </c>
      <c r="I18" s="8" t="str">
        <v>1.0.0</v>
      </c>
      <c r="J18" s="72">
        <v>0</v>
      </c>
      <c r="K18" s="6" t="str">
        <v>2.0.0</v>
      </c>
      <c r="L18" s="43" t="str">
        <v>B, S</v>
      </c>
      <c r="M18" s="43" t="str">
        <v>Covered by generic check(s) in S-158:100. (100_0302)</v>
      </c>
    </row>
    <row r="19" spans="1:13" ht="38.25">
      <c r="A19" s="45" t="str">
        <v>127_Ed1_140</v>
      </c>
      <c r="B19" s="46" t="str">
        <v>127_0041</v>
      </c>
      <c r="C19" s="5" t="str">
        <v>E</v>
      </c>
      <c r="D19" s="59" t="str">
        <v>Dataset discovery metadata file that does not correspond to the dataset discovery metadata content table.</v>
      </c>
      <c r="E19" s="59" t="str">
        <v>For each dataset discovery metadata file that does not correspond to the dataset discovery metadata content table.</v>
      </c>
      <c r="F19" s="59" t="str">
        <v>Ensure correct encoding of the discovery metadata file.</v>
      </c>
      <c r="G19" s="42" t="str">
        <v>PS</v>
      </c>
      <c r="H19" s="44" t="str">
        <v>[14.2, 14.3]</v>
      </c>
      <c r="I19" s="8" t="str">
        <v>1.0.0</v>
      </c>
      <c r="J19" s="72">
        <v>0</v>
      </c>
      <c r="K19" s="6" t="str">
        <v>2.0.0</v>
      </c>
      <c r="L19" s="43" t="str">
        <v>B, U</v>
      </c>
      <c r="M19" s="43" t="str">
        <v>Covered by generic check(s) in S-158:100.</v>
      </c>
    </row>
    <row r="20" spans="1:13" ht="38.25">
      <c r="A20" s="45" t="str">
        <v>127_Ed1_141</v>
      </c>
      <c r="B20" s="46" t="str">
        <v>127_0042</v>
      </c>
      <c r="C20" s="5" t="str">
        <v>E</v>
      </c>
      <c r="D20" s="60" t="str">
        <v>Support file discovery metadata file that does not correspond to the support file discovery metadata content table.</v>
      </c>
      <c r="E20" s="59" t="str">
        <v>For each support file discovery metadata file, does not correspond to the support file discovery metadata content table.</v>
      </c>
      <c r="F20" s="59" t="str">
        <v>Ensure correct encoding of the support file metadata file.</v>
      </c>
      <c r="G20" s="42" t="str">
        <v>PS</v>
      </c>
      <c r="H20" s="44" t="str">
        <v>[14.4]</v>
      </c>
      <c r="I20" s="8" t="str">
        <v>1.0.0</v>
      </c>
      <c r="J20" s="72">
        <v>0</v>
      </c>
      <c r="K20" s="6" t="str">
        <v>2.0.0</v>
      </c>
      <c r="L20" s="43" t="str">
        <v>B, U</v>
      </c>
      <c r="M20" s="43" t="str">
        <v>Covered by generic check(s) in S-158:100.</v>
      </c>
    </row>
    <row r="21" spans="1:13" ht="38.25">
      <c r="A21" s="45" t="str">
        <v>127_Ed1_142</v>
      </c>
      <c r="B21" s="46" t="str">
        <v>127_0043</v>
      </c>
      <c r="C21" s="5" t="str">
        <v>E</v>
      </c>
      <c r="D21" s="60" t="str">
        <v>Catalogue file discovery metadata file that does not correspond to the catalogue file discovery metadata content table.</v>
      </c>
      <c r="E21" s="59" t="str">
        <v>For each catalogue file discovery metadata file that does not correspond to the catalogue file discovery metadata content table.</v>
      </c>
      <c r="F21" s="59" t="str">
        <v>Ensure correct encoding of the catalogue metadata file.</v>
      </c>
      <c r="G21" s="42" t="str">
        <v>PS</v>
      </c>
      <c r="H21" s="44" t="str">
        <v>[14.5]</v>
      </c>
      <c r="I21" s="8" t="str">
        <v>1.0.0</v>
      </c>
      <c r="J21" s="72">
        <v>0</v>
      </c>
      <c r="K21" s="6" t="str">
        <v>2.0.0</v>
      </c>
      <c r="L21" s="43" t="str">
        <v>B, U</v>
      </c>
      <c r="M21" s="43" t="str">
        <v>Covered by generic check(s) in S-158:100.</v>
      </c>
    </row>
    <row r="22" spans="1:13" ht="51">
      <c r="A22" s="45" t="str">
        <v>127_Ed1_150</v>
      </c>
      <c r="B22" s="46" t="str">
        <v>127_0051</v>
      </c>
      <c r="C22" s="5" t="str">
        <v>W</v>
      </c>
      <c r="D22" s="69" t="str">
        <v>Frequency pair frequency attributes are not populated with meaningful information.</v>
      </c>
      <c r="E22" s="64" t="str">
        <v>For each frequencyPair with frequencyShoreStationTransmits or frequencyShoreStationReceives both sub-attributes either omitted or null.</v>
      </c>
      <c r="F22" s="59" t="str">
        <v>Populate at least one of frequencyShoreStationTransmits or frequencyShoreStationReceives.</v>
      </c>
      <c r="G22" s="42" t="str">
        <v>Logical consistency</v>
      </c>
      <c r="H22" s="44">
        <v>0</v>
      </c>
      <c r="I22" s="8" t="str">
        <v>1.0.0</v>
      </c>
      <c r="J22" s="72">
        <v>0</v>
      </c>
      <c r="K22" s="6" t="str">
        <v>2.0.0</v>
      </c>
      <c r="L22" s="43" t="str">
        <v>B, U</v>
      </c>
      <c r="M22" s="43" t="str">
        <v>Redundant in 2.0.0, now covered by generic check for conformance since ...Transmits is made mandatory in FC</v>
      </c>
    </row>
    <row r="23" spans="1:13" ht="38.25">
      <c r="A23" s="45" t="str">
        <v>127_Ed1_158</v>
      </c>
      <c r="B23" s="46" t="str">
        <v>127_0057</v>
      </c>
      <c r="C23" s="42">
        <v>0</v>
      </c>
      <c r="D23" s="59" t="str">
        <v>transmissionContent can only be encoded when categoryOfMaritimeBroadcast is not encoded.</v>
      </c>
      <c r="E23" s="59" t="str">
        <v>For each radiocommunications attribute where transmissionContent and categoryOfMaritimeBroadcast are encoded.</v>
      </c>
      <c r="F23" s="59" t="str">
        <v>Remove transmissionContent or add an additional radiocommunications attribute.</v>
      </c>
      <c r="G23" s="54" t="str">
        <v>PS</v>
      </c>
      <c r="H23" s="44" t="str">
        <v>6.2.1.3</v>
      </c>
      <c r="I23" s="8" t="str">
        <v>1.0.0</v>
      </c>
      <c r="J23" s="72">
        <v>0</v>
      </c>
      <c r="K23" s="6" t="str">
        <v>2.0.0</v>
      </c>
      <c r="L23" s="70" t="str">
        <v>B, U</v>
      </c>
      <c r="M23" s="43" t="str">
        <v>Attribute radiocommunications removed in Edition 2.0.0</v>
      </c>
    </row>
    <row r="24" spans="1:13" ht="38.25">
      <c r="A24" s="45" t="str">
        <v>127_Ed1_159</v>
      </c>
      <c r="B24" s="46" t="str">
        <v>127_0058</v>
      </c>
      <c r="C24" s="5">
        <v>0</v>
      </c>
      <c r="D24" s="59" t="str">
        <v>communicationChannel, signalFrequency, or frequencyPair should be encoded in radiocommunications.</v>
      </c>
      <c r="E24" s="59" t="str">
        <v>For each ContactDetails where radiocommunications attribute is present and communicationChannel, signalFrequency, or frequencyPair is not present.</v>
      </c>
      <c r="F24" s="59" t="str">
        <v>Encode communicationChannel, signalFrequency, or frequencyPair in radiocommunications.</v>
      </c>
      <c r="G24" s="42" t="str">
        <v>PS</v>
      </c>
      <c r="H24" s="44" t="str">
        <v>6.2.1.4</v>
      </c>
      <c r="I24" s="8" t="str">
        <v>1.0.0</v>
      </c>
      <c r="J24" s="72">
        <v>0</v>
      </c>
      <c r="K24" s="6" t="str">
        <v>2.0.0</v>
      </c>
      <c r="L24" s="43" t="str">
        <v>B, U</v>
      </c>
      <c r="M24" s="43" t="str">
        <v>Attribute radiocommunications removed in Edition 2.0.0</v>
      </c>
    </row>
    <row r="25" spans="1:13" ht="25.5">
      <c r="A25" s="45" t="str">
        <v>127_Ed1_167</v>
      </c>
      <c r="B25" s="46" t="str">
        <v>127_0059</v>
      </c>
      <c r="C25" s="5" t="str">
        <v>W</v>
      </c>
      <c r="D25" s="59" t="str">
        <v>The update is larger than 500 KB in size.</v>
      </c>
      <c r="E25" s="60" t="str">
        <v>If the update dataset file size is greater than 500 KiB.</v>
      </c>
      <c r="F25" s="59" t="str">
        <v>Ensure that the cell is not larger than 500 KiB.</v>
      </c>
      <c r="G25" s="42" t="str">
        <v>PS</v>
      </c>
      <c r="H25" s="44">
        <v>11.2</v>
      </c>
      <c r="I25" s="8" t="str">
        <v>1.0.0</v>
      </c>
      <c r="J25" s="72">
        <v>0</v>
      </c>
      <c r="K25" s="48" t="str">
        <v>2.0.0</v>
      </c>
      <c r="L25" s="43" t="str">
        <v>U</v>
      </c>
      <c r="M25" s="43" t="str">
        <v>Covered by generic check(s) in S-158:100.</v>
      </c>
    </row>
    <row r="26" spans="1:13" ht="38.25">
      <c r="A26" s="45" t="str">
        <v>127_Ed1_168</v>
      </c>
      <c r="B26" s="46" t="str">
        <v>127_0060</v>
      </c>
      <c r="C26" s="5" t="str">
        <v>E</v>
      </c>
      <c r="D26" s="60" t="str">
        <v>Base dataset not present.</v>
      </c>
      <c r="E26" s="60" t="str">
        <v>For each update dataset, a base dataset of the same dataset name is not either present on the system, in the same exchange set, or in another exchange set in the collection of exchange sets.</v>
      </c>
      <c r="F26" s="59" t="str">
        <v>Verify that the absence base dataset is not an error.</v>
      </c>
      <c r="G26" s="42" t="str">
        <v>Logical consistency</v>
      </c>
      <c r="H26" s="44">
        <v>0</v>
      </c>
      <c r="I26" s="8" t="str">
        <v>1.0.0</v>
      </c>
      <c r="J26" s="72">
        <v>0</v>
      </c>
      <c r="K26" s="48" t="str">
        <v>2.0.0</v>
      </c>
      <c r="L26" s="43" t="str">
        <v>U</v>
      </c>
      <c r="M26" s="43" t="str">
        <v>Covered by generic check(s) in S-158:100.</v>
      </c>
    </row>
    <row r="27" spans="1:13" ht="38.25">
      <c r="A27" s="45" t="str">
        <v>127_Ed1_169</v>
      </c>
      <c r="B27" s="46" t="str">
        <v>127_0061</v>
      </c>
      <c r="C27" s="5" t="str">
        <v>E</v>
      </c>
      <c r="D27" s="60" t="str">
        <v>Preceding updates not present.</v>
      </c>
      <c r="E27" s="60" t="str">
        <v>For each update dataset with updateNumber N &gt; 1, the base dataset is present and updates 1 to N-1 are not present on the system, in the exchange set, or in another exchange set on the system.</v>
      </c>
      <c r="F27" s="59" t="str">
        <v xml:space="preserve">Obtain and install preceding updates. </v>
      </c>
      <c r="G27" s="42" t="str">
        <v>Logical consistency</v>
      </c>
      <c r="H27" s="44">
        <v>0</v>
      </c>
      <c r="I27" s="8" t="str">
        <v>1.0.0</v>
      </c>
      <c r="J27" s="74">
        <v>0</v>
      </c>
      <c r="K27" s="48" t="str">
        <v>2.0.0</v>
      </c>
      <c r="L27" s="43" t="str">
        <v>U</v>
      </c>
      <c r="M27" s="43" t="str">
        <v>Covered by generic check(s) in S-158:100.</v>
      </c>
    </row>
    <row r="28" spans="1:13" ht="25.5">
      <c r="A28" s="45" t="str">
        <v>127_Ed1_171</v>
      </c>
      <c r="B28" s="46" t="str">
        <v>127_0063</v>
      </c>
      <c r="C28" s="5" t="str">
        <v>W</v>
      </c>
      <c r="D28" s="60" t="str">
        <v>Terminated dataset is not present.</v>
      </c>
      <c r="E28" s="59" t="str">
        <v>For each cancellation (termination) of a dataset that does not exist on the system or has already been cancelled.</v>
      </c>
      <c r="F28" s="59" t="str">
        <v>Ignore the update.</v>
      </c>
      <c r="G28" s="42" t="str">
        <v>Logical consistency</v>
      </c>
      <c r="H28" s="44">
        <v>0</v>
      </c>
      <c r="I28" s="8" t="str">
        <v>1.0.0</v>
      </c>
      <c r="J28" s="74">
        <v>0</v>
      </c>
      <c r="K28" s="6" t="str">
        <v>2.0.0</v>
      </c>
      <c r="L28" s="43" t="str">
        <v>U</v>
      </c>
      <c r="M28" s="43" t="str">
        <v>Covered by generic check(s) in S-158:100.</v>
      </c>
    </row>
    <row r="29" spans="1:13" ht="25.5">
      <c r="A29" s="45" t="str">
        <v>127_Ed1_180</v>
      </c>
      <c r="B29" s="46" t="str">
        <v>127_0072</v>
      </c>
      <c r="C29" s="5" t="str">
        <v>E</v>
      </c>
      <c r="D29" s="60" t="str">
        <v>PilotService can have at most one associated PilotDistrict service area associated.</v>
      </c>
      <c r="E29" s="60" t="str">
        <v>For each PilotService with more than one PilotDistrict associated via a serviceArea role.</v>
      </c>
      <c r="F29" s="59" t="str">
        <v>Remove association to all but one of the associated PilotDistrict features.</v>
      </c>
      <c r="G29" s="42" t="str">
        <v>DCEG</v>
      </c>
      <c r="H29" s="44">
        <v>9.4</v>
      </c>
      <c r="I29" s="8" t="str">
        <v>1.0.0</v>
      </c>
      <c r="J29" s="72">
        <v>0</v>
      </c>
      <c r="K29" s="6" t="str">
        <v>2.0.0</v>
      </c>
      <c r="L29" s="43" t="str">
        <v>B, U, S</v>
      </c>
      <c r="M29" s="43" t="str">
        <v>Covered by 100_0012</v>
      </c>
    </row>
    <row r="30" spans="1:13" s="43" customFormat="1">
      <c r="A30" s="45"/>
      <c r="B30" s="46"/>
      <c r="C30" s="42"/>
      <c r="D30" s="60"/>
      <c r="E30" s="60"/>
      <c r="F30" s="60"/>
      <c r="G30" s="42"/>
      <c r="H30" s="44"/>
      <c r="I30" s="47"/>
      <c r="J30" s="74"/>
      <c r="K30" s="48"/>
    </row>
    <row r="31" spans="1:13" s="43" customFormat="1">
      <c r="A31" s="45"/>
      <c r="B31" s="46"/>
      <c r="C31" s="50"/>
      <c r="D31" s="65"/>
      <c r="E31" s="65"/>
      <c r="F31" s="65"/>
      <c r="G31" s="50"/>
      <c r="H31" s="51"/>
      <c r="I31" s="52"/>
      <c r="J31" s="74"/>
      <c r="K31" s="48"/>
    </row>
    <row r="32" spans="1:13">
      <c r="A32" s="45"/>
      <c r="B32" s="46"/>
      <c r="C32" s="5"/>
      <c r="D32" s="59"/>
      <c r="E32" s="59"/>
      <c r="F32" s="59"/>
      <c r="G32" s="54"/>
      <c r="H32" s="44"/>
      <c r="I32" s="75"/>
      <c r="J32" s="72"/>
      <c r="K32" s="6"/>
      <c r="L32" s="43"/>
      <c r="M32" s="43"/>
    </row>
    <row r="33" spans="1:12">
      <c r="A33" s="45"/>
      <c r="B33" s="46"/>
      <c r="D33" s="66"/>
      <c r="E33" s="66"/>
      <c r="F33" s="66"/>
      <c r="I33" s="47"/>
      <c r="L33" s="43"/>
    </row>
    <row r="34" spans="1:12">
      <c r="A34" s="45"/>
      <c r="B34" s="46"/>
      <c r="D34" s="66"/>
      <c r="E34" s="66"/>
      <c r="F34" s="66"/>
      <c r="I34" s="47"/>
      <c r="L34" s="43"/>
    </row>
    <row r="35" spans="1:12">
      <c r="A35" s="45"/>
      <c r="B35" s="46"/>
      <c r="D35" s="66"/>
      <c r="E35" s="66"/>
      <c r="F35" s="66"/>
      <c r="I35" s="47"/>
      <c r="L35" s="43"/>
    </row>
    <row r="36" spans="1:12">
      <c r="A36" s="45"/>
      <c r="B36" s="46"/>
      <c r="D36" s="66"/>
      <c r="E36" s="66"/>
      <c r="F36" s="66"/>
      <c r="I36" s="47"/>
      <c r="L36" s="43"/>
    </row>
    <row r="37" spans="1:12">
      <c r="A37" s="45"/>
      <c r="B37" s="46"/>
      <c r="D37" s="66"/>
      <c r="E37" s="66"/>
      <c r="F37" s="66"/>
      <c r="I37" s="47"/>
      <c r="L37" s="43"/>
    </row>
    <row r="38" spans="1:12">
      <c r="A38" s="45"/>
      <c r="B38" s="46"/>
      <c r="D38" s="66"/>
      <c r="E38" s="66"/>
      <c r="F38" s="66"/>
      <c r="I38" s="47"/>
      <c r="L38" s="43"/>
    </row>
    <row r="39" spans="1:12">
      <c r="A39" s="45"/>
      <c r="B39" s="46"/>
      <c r="D39" s="66"/>
      <c r="E39" s="66"/>
      <c r="F39" s="66"/>
      <c r="I39" s="47"/>
      <c r="L39" s="43"/>
    </row>
    <row r="40" spans="1:12">
      <c r="A40" s="45"/>
      <c r="B40" s="46"/>
      <c r="D40" s="66"/>
      <c r="E40" s="66"/>
      <c r="F40" s="66"/>
      <c r="I40" s="47"/>
      <c r="L40" s="43"/>
    </row>
    <row r="41" spans="1:12">
      <c r="A41" s="45"/>
      <c r="B41" s="46"/>
      <c r="D41" s="66"/>
      <c r="E41" s="66"/>
      <c r="F41" s="66"/>
      <c r="I41" s="47"/>
      <c r="L41" s="43"/>
    </row>
    <row r="42" spans="1:12">
      <c r="A42" s="45"/>
      <c r="B42" s="46"/>
      <c r="D42" s="66"/>
      <c r="E42" s="66"/>
      <c r="F42" s="66"/>
      <c r="I42" s="47"/>
      <c r="K42" s="48"/>
      <c r="L42" s="43"/>
    </row>
    <row r="43" spans="1:12">
      <c r="A43" s="45"/>
      <c r="B43" s="46"/>
      <c r="D43" s="66"/>
      <c r="E43" s="66"/>
      <c r="F43" s="66"/>
      <c r="I43" s="47"/>
      <c r="K43" s="48"/>
      <c r="L43" s="43"/>
    </row>
    <row r="44" spans="1:12">
      <c r="A44" s="45"/>
      <c r="B44" s="46"/>
      <c r="D44" s="66"/>
      <c r="E44" s="66"/>
      <c r="F44" s="66"/>
      <c r="I44" s="47"/>
      <c r="K44" s="48"/>
      <c r="L44" s="43"/>
    </row>
    <row r="45" spans="1:12">
      <c r="A45" s="45"/>
      <c r="B45" s="46"/>
      <c r="D45" s="66"/>
      <c r="E45" s="67"/>
      <c r="F45" s="66"/>
      <c r="I45" s="47"/>
      <c r="L45" s="43"/>
    </row>
    <row r="46" spans="1:12">
      <c r="A46" s="45"/>
      <c r="B46" s="46"/>
      <c r="D46" s="66"/>
      <c r="E46" s="67"/>
      <c r="F46" s="66"/>
      <c r="I46" s="47"/>
      <c r="L46" s="43"/>
    </row>
    <row r="47" spans="1:12">
      <c r="A47" s="45"/>
      <c r="B47" s="46"/>
      <c r="D47" s="66"/>
      <c r="E47" s="67"/>
      <c r="F47" s="66"/>
      <c r="I47" s="47"/>
      <c r="L47" s="43"/>
    </row>
    <row r="48" spans="1:12">
      <c r="A48" s="45"/>
      <c r="B48" s="46"/>
      <c r="D48" s="66"/>
      <c r="E48" s="67"/>
      <c r="F48" s="66"/>
      <c r="I48" s="47"/>
      <c r="L48" s="43"/>
    </row>
    <row r="49" spans="1:13">
      <c r="A49" s="45"/>
      <c r="B49" s="46"/>
      <c r="D49" s="66"/>
      <c r="E49" s="67"/>
      <c r="F49" s="66"/>
      <c r="I49" s="47"/>
      <c r="L49" s="43"/>
    </row>
    <row r="50" spans="1:13">
      <c r="A50" s="45"/>
      <c r="B50" s="46"/>
      <c r="D50" s="66"/>
      <c r="E50" s="67"/>
      <c r="F50" s="66"/>
      <c r="I50" s="47"/>
      <c r="L50" s="43"/>
    </row>
    <row r="51" spans="1:13">
      <c r="A51" s="45"/>
      <c r="B51" s="46"/>
      <c r="D51" s="66"/>
      <c r="E51" s="67"/>
      <c r="F51" s="66"/>
      <c r="I51" s="47"/>
      <c r="L51" s="43"/>
    </row>
    <row r="52" spans="1:13">
      <c r="A52" s="45"/>
      <c r="B52" s="46"/>
      <c r="D52" s="66"/>
      <c r="E52" s="67"/>
      <c r="F52" s="66"/>
      <c r="I52" s="47"/>
      <c r="K52" s="48"/>
      <c r="L52" s="43"/>
    </row>
    <row r="53" spans="1:13">
      <c r="A53" s="45"/>
      <c r="B53" s="46"/>
      <c r="D53" s="66"/>
      <c r="E53" s="67"/>
      <c r="F53" s="66"/>
      <c r="I53" s="47"/>
      <c r="L53" s="43"/>
    </row>
    <row r="54" spans="1:13">
      <c r="A54" s="45"/>
      <c r="B54" s="46"/>
      <c r="D54" s="66"/>
      <c r="E54" s="67"/>
      <c r="F54" s="66"/>
      <c r="I54" s="47"/>
      <c r="L54" s="43"/>
    </row>
    <row r="55" spans="1:13">
      <c r="A55" s="45"/>
      <c r="B55" s="46"/>
      <c r="D55" s="66"/>
      <c r="E55" s="67"/>
      <c r="F55" s="66"/>
      <c r="I55" s="47"/>
      <c r="L55" s="43"/>
    </row>
    <row r="56" spans="1:13">
      <c r="A56" s="45"/>
      <c r="B56" s="46"/>
      <c r="D56" s="66"/>
      <c r="E56" s="67"/>
      <c r="F56" s="66"/>
      <c r="I56" s="47"/>
      <c r="L56" s="43"/>
    </row>
    <row r="57" spans="1:13">
      <c r="A57" s="45"/>
      <c r="B57" s="46"/>
      <c r="D57" s="66"/>
      <c r="E57" s="67"/>
      <c r="F57" s="66"/>
      <c r="I57" s="47"/>
      <c r="L57" s="43"/>
    </row>
    <row r="58" spans="1:13">
      <c r="A58" s="45"/>
      <c r="B58" s="46"/>
      <c r="D58" s="66"/>
      <c r="E58" s="66"/>
      <c r="F58" s="66"/>
      <c r="I58" s="47"/>
      <c r="K58" s="43"/>
      <c r="L58" s="43"/>
      <c r="M58" s="43"/>
    </row>
    <row r="59" spans="1:13">
      <c r="A59" s="45"/>
      <c r="B59" s="46"/>
      <c r="D59" s="66"/>
      <c r="E59" s="66"/>
      <c r="F59" s="66"/>
      <c r="I59" s="47"/>
      <c r="K59" s="43"/>
      <c r="L59" s="43"/>
      <c r="M59" s="43"/>
    </row>
    <row r="60" spans="1:13">
      <c r="A60" s="45"/>
      <c r="B60" s="46"/>
      <c r="D60" s="66"/>
      <c r="E60" s="66"/>
      <c r="F60" s="66"/>
      <c r="I60" s="47"/>
      <c r="K60" s="43"/>
      <c r="L60" s="43"/>
    </row>
    <row r="61" spans="1:13">
      <c r="A61" s="45"/>
      <c r="B61" s="46"/>
      <c r="D61" s="66"/>
      <c r="E61" s="66"/>
      <c r="F61" s="66"/>
      <c r="I61" s="47"/>
      <c r="K61" s="43"/>
      <c r="L61" s="43"/>
    </row>
    <row r="62" spans="1:13">
      <c r="A62" s="45"/>
      <c r="B62" s="46"/>
      <c r="D62" s="66"/>
      <c r="E62" s="66"/>
      <c r="F62" s="66"/>
      <c r="I62" s="47"/>
      <c r="K62" s="43"/>
      <c r="L62" s="43"/>
    </row>
    <row r="63" spans="1:13">
      <c r="A63" s="45"/>
      <c r="B63" s="46"/>
      <c r="D63" s="66"/>
      <c r="E63" s="66"/>
      <c r="F63" s="66"/>
      <c r="I63" s="47"/>
      <c r="L63" s="43"/>
    </row>
    <row r="64" spans="1:13">
      <c r="A64" s="45"/>
      <c r="B64" s="46"/>
      <c r="D64" s="66"/>
      <c r="E64" s="66"/>
      <c r="F64" s="66"/>
      <c r="I64" s="47"/>
      <c r="K64" s="43"/>
      <c r="L64" s="43"/>
    </row>
    <row r="65" spans="1:12">
      <c r="A65" s="45"/>
      <c r="B65" s="46"/>
      <c r="D65" s="66"/>
      <c r="E65" s="66"/>
      <c r="F65" s="66"/>
      <c r="I65" s="47"/>
      <c r="K65" s="43"/>
      <c r="L65" s="43"/>
    </row>
    <row r="66" spans="1:12">
      <c r="A66" s="45"/>
      <c r="B66" s="46"/>
      <c r="D66" s="66"/>
      <c r="E66" s="66"/>
      <c r="F66" s="66"/>
      <c r="I66" s="47"/>
      <c r="L66" s="43"/>
    </row>
    <row r="67" spans="1:12">
      <c r="A67" s="45"/>
      <c r="B67" s="46"/>
      <c r="D67" s="66"/>
      <c r="E67" s="66"/>
      <c r="F67" s="66"/>
      <c r="I67" s="47"/>
      <c r="L67" s="43"/>
    </row>
    <row r="68" spans="1:12">
      <c r="A68" s="45"/>
      <c r="B68" s="46"/>
      <c r="D68" s="66"/>
      <c r="E68" s="66"/>
      <c r="F68" s="66"/>
      <c r="I68" s="47"/>
      <c r="L68" s="43"/>
    </row>
    <row r="69" spans="1:12">
      <c r="A69" s="45"/>
      <c r="B69" s="46"/>
      <c r="D69" s="66"/>
      <c r="E69" s="66"/>
      <c r="F69" s="66"/>
      <c r="I69" s="47"/>
      <c r="L69" s="43"/>
    </row>
    <row r="70" spans="1:12">
      <c r="A70" s="45"/>
      <c r="B70" s="46"/>
      <c r="D70" s="66"/>
      <c r="E70" s="66"/>
      <c r="F70" s="66"/>
      <c r="I70" s="47"/>
      <c r="L70" s="43"/>
    </row>
    <row r="71" spans="1:12">
      <c r="A71" s="45"/>
      <c r="B71" s="46"/>
      <c r="D71" s="66"/>
      <c r="E71" s="66"/>
      <c r="F71" s="66"/>
      <c r="I71" s="47"/>
      <c r="L71" s="43"/>
    </row>
    <row r="72" spans="1:12">
      <c r="A72" s="45"/>
      <c r="B72" s="46"/>
      <c r="D72" s="66"/>
      <c r="E72" s="66"/>
      <c r="F72" s="66"/>
      <c r="I72" s="47"/>
      <c r="L72" s="43"/>
    </row>
    <row r="73" spans="1:12">
      <c r="A73" s="45"/>
      <c r="B73" s="46"/>
      <c r="D73" s="66"/>
      <c r="E73" s="66"/>
      <c r="F73" s="66"/>
      <c r="I73" s="47"/>
      <c r="L73" s="43"/>
    </row>
    <row r="74" spans="1:12">
      <c r="E74" s="66"/>
    </row>
    <row r="75" spans="1:12">
      <c r="E75" s="66"/>
    </row>
    <row r="76" spans="1:12">
      <c r="E76" s="66"/>
    </row>
    <row r="77" spans="1:12">
      <c r="E77" s="66"/>
    </row>
    <row r="78" spans="1:12">
      <c r="E78" s="66"/>
    </row>
    <row r="79" spans="1:12">
      <c r="E79" s="66"/>
    </row>
    <row r="80" spans="1:12">
      <c r="E80" s="66"/>
    </row>
    <row r="81" spans="5:5">
      <c r="E81" s="66"/>
    </row>
    <row r="82" spans="5:5">
      <c r="E82" s="66"/>
    </row>
    <row r="83" spans="5:5">
      <c r="E83" s="66"/>
    </row>
    <row r="84" spans="5:5">
      <c r="E84" s="66"/>
    </row>
    <row r="85" spans="5:5">
      <c r="E85" s="66"/>
    </row>
    <row r="86" spans="5:5">
      <c r="E86" s="66"/>
    </row>
    <row r="87" spans="5:5">
      <c r="E87" s="66"/>
    </row>
    <row r="88" spans="5:5">
      <c r="E88" s="66"/>
    </row>
    <row r="89" spans="5:5">
      <c r="E89" s="66"/>
    </row>
    <row r="90" spans="5:5">
      <c r="E90" s="66"/>
    </row>
    <row r="91" spans="5:5">
      <c r="E91" s="66"/>
    </row>
    <row r="92" spans="5:5">
      <c r="E92" s="66"/>
    </row>
    <row r="93" spans="5:5">
      <c r="E93" s="66"/>
    </row>
    <row r="94" spans="5:5">
      <c r="E94" s="66"/>
    </row>
    <row r="95" spans="5:5">
      <c r="E95" s="66"/>
    </row>
    <row r="96" spans="5:5">
      <c r="E96" s="66"/>
    </row>
    <row r="97" spans="5:5">
      <c r="E97" s="66"/>
    </row>
    <row r="98" spans="5:5">
      <c r="E98" s="66"/>
    </row>
    <row r="99" spans="5:5">
      <c r="E99" s="66"/>
    </row>
    <row r="100" spans="5:5">
      <c r="E100" s="66"/>
    </row>
    <row r="101" spans="5:5">
      <c r="E101" s="66"/>
    </row>
    <row r="102" spans="5:5">
      <c r="E102" s="66"/>
    </row>
    <row r="103" spans="5:5">
      <c r="E103" s="66"/>
    </row>
    <row r="104" spans="5:5">
      <c r="E104" s="66"/>
    </row>
    <row r="105" spans="5:5">
      <c r="E105" s="66"/>
    </row>
    <row r="106" spans="5:5">
      <c r="E106" s="66"/>
    </row>
    <row r="107" spans="5:5">
      <c r="E107" s="66"/>
    </row>
    <row r="108" spans="5:5">
      <c r="E108" s="66"/>
    </row>
    <row r="109" spans="5:5">
      <c r="E109" s="66"/>
    </row>
    <row r="110" spans="5:5">
      <c r="E110" s="66"/>
    </row>
    <row r="111" spans="5:5">
      <c r="E111" s="66"/>
    </row>
    <row r="112" spans="5:5">
      <c r="E112" s="66"/>
    </row>
    <row r="113" spans="5:5">
      <c r="E113" s="66"/>
    </row>
    <row r="114" spans="5:5">
      <c r="E114" s="66"/>
    </row>
    <row r="115" spans="5:5">
      <c r="E115" s="66"/>
    </row>
    <row r="116" spans="5:5">
      <c r="E116" s="66"/>
    </row>
    <row r="117" spans="5:5">
      <c r="E117" s="66"/>
    </row>
    <row r="118" spans="5:5">
      <c r="E118" s="66"/>
    </row>
    <row r="119" spans="5:5">
      <c r="E119" s="66"/>
    </row>
    <row r="120" spans="5:5">
      <c r="E120" s="66"/>
    </row>
    <row r="121" spans="5:5">
      <c r="E121" s="66"/>
    </row>
    <row r="122" spans="5:5">
      <c r="E122" s="66"/>
    </row>
    <row r="123" spans="5:5">
      <c r="E123" s="66"/>
    </row>
    <row r="124" spans="5:5">
      <c r="E124" s="66"/>
    </row>
    <row r="125" spans="5:5">
      <c r="E125" s="66"/>
    </row>
    <row r="126" spans="5:5">
      <c r="E126" s="66"/>
    </row>
    <row r="127" spans="5:5">
      <c r="E127" s="66"/>
    </row>
    <row r="128" spans="5:5">
      <c r="E128" s="66"/>
    </row>
    <row r="129" spans="5:5">
      <c r="E129" s="66"/>
    </row>
    <row r="130" spans="5:5">
      <c r="E130" s="66"/>
    </row>
    <row r="131" spans="5:5">
      <c r="E131" s="66"/>
    </row>
    <row r="132" spans="5:5">
      <c r="E132" s="66"/>
    </row>
  </sheetData>
  <dataValidations count="1">
    <dataValidation type="list" allowBlank="1" showInputMessage="1" showErrorMessage="1" sqref="C2:C32" xr:uid="{D86360AF-E39D-4FA7-9242-D786935C5EBD}">
      <formula1>"C,E,W"</formula1>
    </dataValidation>
  </dataValidation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S127ValidationChecks metadata</vt:lpstr>
      <vt:lpstr>S127Checks</vt:lpstr>
      <vt:lpstr>DeletedS127Checks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Elizabeth Helen Hahessy</dc:creator>
  <cp:lastModifiedBy>Raphael Malyankar</cp:lastModifiedBy>
  <dcterms:created xsi:type="dcterms:W3CDTF">2024-06-25T17:20:00Z</dcterms:created>
  <dcterms:modified xsi:type="dcterms:W3CDTF">2026-01-23T05:44:18Z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A2947D3279EC4CC0AF370B4689C04015_13</vt:lpwstr>
  </property>
  <property fmtid="{D5CDD505-2E9C-101B-9397-08002B2CF9AE}" pid="3" name="KSOProductBuildVer">
    <vt:lpwstr>2052-11.8.2.10534</vt:lpwstr>
  </property>
</Properties>
</file>